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xr:revisionPtr revIDLastSave="0" documentId="8_{65BBAF7C-BC82-4962-A05B-D40B5B9DEDC6}" xr6:coauthVersionLast="47" xr6:coauthVersionMax="47" xr10:uidLastSave="{00000000-0000-0000-0000-000000000000}"/>
  <bookViews>
    <workbookView xWindow="240" yWindow="105" windowWidth="14805" windowHeight="8010" firstSheet="2" activeTab="2" xr2:uid="{00000000-000D-0000-FFFF-FFFF00000000}"/>
  </bookViews>
  <sheets>
    <sheet name="Sources" sheetId="1" r:id="rId1"/>
    <sheet name="SoK" sheetId="2" r:id="rId2"/>
    <sheet name="Ark1" sheetId="12" r:id="rId3"/>
    <sheet name="csv" sheetId="10" r:id="rId4"/>
    <sheet name="csv file" sheetId="11" r:id="rId5"/>
    <sheet name="Alice" sheetId="3" r:id="rId6"/>
    <sheet name="Channel &amp; Physical Link" sheetId="4" r:id="rId7"/>
    <sheet name="Bob" sheetId="5" r:id="rId8"/>
    <sheet name="Network and Node Architecture" sheetId="6" r:id="rId9"/>
    <sheet name="Control, Monitoring &amp; Operation" sheetId="7" r:id="rId10"/>
    <sheet name="Deployment Environment &amp; Coexis" sheetId="8" r:id="rId11"/>
    <sheet name="Statistics" sheetId="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9" l="1"/>
  <c r="F34" i="9"/>
  <c r="F35" i="9"/>
  <c r="F36" i="9"/>
  <c r="F37" i="9"/>
  <c r="F32" i="9"/>
  <c r="D33" i="9"/>
  <c r="D34" i="9"/>
  <c r="D35" i="9"/>
  <c r="D36" i="9"/>
  <c r="D37" i="9"/>
  <c r="D32" i="9"/>
  <c r="H24" i="9"/>
  <c r="H25" i="9"/>
  <c r="H26" i="9"/>
  <c r="H27" i="9"/>
  <c r="H23" i="9"/>
  <c r="H22" i="9"/>
</calcChain>
</file>

<file path=xl/sharedStrings.xml><?xml version="1.0" encoding="utf-8"?>
<sst xmlns="http://schemas.openxmlformats.org/spreadsheetml/2006/main" count="1016" uniqueCount="528">
  <si>
    <t>Title</t>
  </si>
  <si>
    <t>Link</t>
  </si>
  <si>
    <t>Keywords (notes in overleaf) / Key findings</t>
  </si>
  <si>
    <t>What part of master thesis can this be used for?</t>
  </si>
  <si>
    <t>Read?</t>
  </si>
  <si>
    <t xml:space="preserve">Paving the Way towards 800 Gbps Quantum-Secured Optical Channel Deployment in Mission-Critical Environments
</t>
  </si>
  <si>
    <t>https://arxiv.org/pdf/2202.07764</t>
  </si>
  <si>
    <t>Title:</t>
  </si>
  <si>
    <t>Link:</t>
  </si>
  <si>
    <t>Where/what:</t>
  </si>
  <si>
    <t>Toshiba Long Distance QKD System</t>
  </si>
  <si>
    <t>https://www.toshiba.eu/quantum/products/quantum-key-distribution/long-distance-qkd-system-ld/</t>
  </si>
  <si>
    <t>Technical paper</t>
  </si>
  <si>
    <t>Toshiba Multiplexed QKD Systems MU</t>
  </si>
  <si>
    <t>https://www.toshiba.eu/quantum/products/quantum-key-distribution/multiplexed-qkd-system-mu/ </t>
  </si>
  <si>
    <t>Toshiba Flexible QKD System LE</t>
  </si>
  <si>
    <t>https://www.toshiba.eu/quantum/products/quantum-key-distribution/flexible-qkd-system-le/ </t>
  </si>
  <si>
    <t>Paving the Way towards 800 Gbps Quantum-Secured Optical Channel Deployment in Mission-Critical Environments</t>
  </si>
  <si>
    <t>https://arxiv.org/pdf/2202.07764 </t>
  </si>
  <si>
    <t>Channel &amp; physical link, Deployment Environment &amp; Coexistence</t>
  </si>
  <si>
    <t>The SECOQC quantum key distribution in Vienna</t>
  </si>
  <si>
    <t>https://iopscience.iop.org/article/10.1088/1367-2630/11/7/075001/pdf</t>
  </si>
  <si>
    <t>Alice, Channel &amp; physical link, Bob, Network and Node Architecture, Control, Monitoring &amp; Operation Deployment Environment &amp; Coexistence</t>
  </si>
  <si>
    <t>Chapter 4 - The DARPA Quantum Network</t>
  </si>
  <si>
    <t>darpa</t>
  </si>
  <si>
    <t xml:space="preserve">Network and Node Architecture, Bob, Alice, </t>
  </si>
  <si>
    <t>Berlin OpenQKD Testbed Evaluating Quantum Key Distribution in Provider Networks</t>
  </si>
  <si>
    <t>https://dl.acm.org/doi/pdf/10.1145/3634865.3634872 </t>
  </si>
  <si>
    <t>Deployment Environment and coexistence, Technical paper</t>
  </si>
  <si>
    <t>MadQCI: a heterogeneous and scalable SDN QKD network deployed in production facilities</t>
  </si>
  <si>
    <t>https://arxiv.org/pdf/2311.12791v2 </t>
  </si>
  <si>
    <t>Alice, Channel &amp; physical link, Bob, Network and Node Architecture</t>
  </si>
  <si>
    <t>Madrid Quantum Communication Infrastructure: a testbed for assessing QKD technologies into real production networks</t>
  </si>
  <si>
    <t>https://ieeexplore.ieee.org/stamp/stamp.jsp?tp=&amp;arnumber=9489848&amp;tag=1 </t>
  </si>
  <si>
    <t>Deployment Environment and coexistence</t>
  </si>
  <si>
    <t>Large scale quantum key distribution: challenges and solutions</t>
  </si>
  <si>
    <t>https://arxiv.org/pdf/1809.02291 </t>
  </si>
  <si>
    <t>Alice, Bob, Channel &amp; Physical link</t>
  </si>
  <si>
    <t>Using quantum key distribution for cryptographic purposes: A survey</t>
  </si>
  <si>
    <t>https://www.sciencedirect.com/science/article/pii/S0304397514006963 </t>
  </si>
  <si>
    <t>Alice, Bob, Control, Monitoring &amp; operation</t>
  </si>
  <si>
    <t>Quantum Key Distribution Secured Optical Networks: A Survey</t>
  </si>
  <si>
    <t>https://ieeexplore.ieee.org/stamp/stamp.jsp?tp=&amp;arnumber=9520678 </t>
  </si>
  <si>
    <t>Alice, Bob</t>
  </si>
  <si>
    <t>An Introduction to Practical Quantum Key Distribution</t>
  </si>
  <si>
    <t>https://ieeexplore.ieee.org/stamp/stamp.jsp?tp=&amp;arnumber=9374032 </t>
  </si>
  <si>
    <t>Alice, Channel and physical link, Bob</t>
  </si>
  <si>
    <t>Full-field of implementation of a perfect eavesdropper on a quantum cryptography system</t>
  </si>
  <si>
    <t>https://arxiv.org/pdf/1011.0105 </t>
  </si>
  <si>
    <t>Channel and physical link, Bob</t>
  </si>
  <si>
    <t>Large pulse attacks as a method of conventional optical eavesdropping in quantum cryptography</t>
  </si>
  <si>
    <t>https://www.tandfonline.com/doi/epdf/10.1080/09500340108240904?needAccess=true</t>
  </si>
  <si>
    <t>Experimental demonstration of phase-remapping attack in a practical quantum key distribution system</t>
  </si>
  <si>
    <t>https://arxiv.org/pdf/1005.2376</t>
  </si>
  <si>
    <t>Alice</t>
  </si>
  <si>
    <t>Faint laser quantum key distribution: eavesdropping exploiting multiphoton pulses</t>
  </si>
  <si>
    <t>https://www.tandfonline.com/doi/epdf/10.1080/09500340108240903?needAccess=true </t>
  </si>
  <si>
    <t>Information leakage via side channels in freespace BB84 quantum cryptography</t>
  </si>
  <si>
    <t>https://iopscience.iop.org/article/10.1088/1367-2630/11/6/065001/pdf </t>
  </si>
  <si>
    <t>The breakdown flash of Silicon Avalanche Photodiodes - backdoor for eavesdropper attacks?</t>
  </si>
  <si>
    <t>https://arxiv.org/pdf/quant-ph/0104103 </t>
  </si>
  <si>
    <t>Bob, Control, Monitoring &amp; Operation</t>
  </si>
  <si>
    <t>Device calibration impacts security of quantum key distribution</t>
  </si>
  <si>
    <t>https://arxiv.org/pdf/1103.2327 </t>
  </si>
  <si>
    <t>Control, monitoring &amp; operation</t>
  </si>
  <si>
    <t>The Security of Practical Quantum Key Distribution</t>
  </si>
  <si>
    <t>https://arxiv.org/abs/0802.4155 </t>
  </si>
  <si>
    <t>Control, monitoring &amp; operation, Alice, channel &amp; physical link, Bob</t>
  </si>
  <si>
    <t>The black paper of quantum cryptography: real implementation problems</t>
  </si>
  <si>
    <t>https://arxiv.org/pdf/0906.4547 </t>
  </si>
  <si>
    <t>Field test of quantum key distribution in the Tokyo QKD Network</t>
  </si>
  <si>
    <t>https://arxiv.org/pdf/1103.3566 </t>
  </si>
  <si>
    <t>Channel &amp; physical link, Bob, deployment environment &amp; coexistence, control, monitoring &amp; operation</t>
  </si>
  <si>
    <t>Realizing long-term quantum cryptography</t>
  </si>
  <si>
    <t>realizing</t>
  </si>
  <si>
    <t>Continuous operation of a one-way quantum key distribution system over installed telecom fibre</t>
  </si>
  <si>
    <t>https://doi.org/10.1364/OPEX.13.000660</t>
  </si>
  <si>
    <t>Optical networking for quantum key distribution and quantum communications</t>
  </si>
  <si>
    <t>https://iopscience.iop.org/article/10.1088/1367-2630/11/10/105001/pdf </t>
  </si>
  <si>
    <t>Control, Monitoring &amp; Operation, Deployment Environment &amp; Coexistence</t>
  </si>
  <si>
    <t>Field test of wavelength-saving quantum key distribution network</t>
  </si>
  <si>
    <t>https://doi.org/10.1364/OL.35.002454</t>
  </si>
  <si>
    <t>Network and Node Architecture</t>
  </si>
  <si>
    <t>Metropolitan all-pass and inter-city quantum communication network</t>
  </si>
  <si>
    <t>https://doi.org/10.1364/OE.18.027217</t>
  </si>
  <si>
    <t>Linking QKD Testbeds across Europe</t>
  </si>
  <si>
    <t>https://www.mdpi.com/1099-4300/26/2/123</t>
  </si>
  <si>
    <t>Network and node architecture</t>
  </si>
  <si>
    <t>Quantum Data Encryption as a Service on Demand: Eindhoven QKD Network Testbed</t>
  </si>
  <si>
    <t>https://ieeexplore.ieee.org/stamp/stamp.jsp?tp=&amp;arnumber=8840238&amp;tag=1</t>
  </si>
  <si>
    <t xml:space="preserve">Alice, deploument environment and coexistence, </t>
  </si>
  <si>
    <t>A quantum key distribution testbed using a plug&amp;play telecom-wavelength single-photon source</t>
  </si>
  <si>
    <t>https://pubs.aip.org/aip/apr/article/9/1/011412/2835657 </t>
  </si>
  <si>
    <t>Hybrid QKD &amp; PQC Protocols implemented in the Berlin OpenQKD testbed</t>
  </si>
  <si>
    <t>https://doi.org/10.1109/ICFSP59764.2023.10372894</t>
  </si>
  <si>
    <t>channel &amp; physical link, network and node architecture</t>
  </si>
  <si>
    <t>Batelle QKD test bed</t>
  </si>
  <si>
    <t>https://ieeexplore.ieee.org/abstract/document/6459843 </t>
  </si>
  <si>
    <t>Testbed and Experiments for Quantum-Conventional Networking</t>
  </si>
  <si>
    <t>https://ieeexplore.ieee.org/abstract/document/11000242 </t>
  </si>
  <si>
    <t>A Scalable Quantum Key Distribution Network Testbed Using Parallel Discrete-Event Simulation</t>
  </si>
  <si>
    <t>https://dl.acm.org/doi/full/10.1145/3490029 </t>
  </si>
  <si>
    <t>Network and Node architecture, channel and physical link control, monitoring and operation</t>
  </si>
  <si>
    <t>Implementation of a Wireless Time Distribution Testbed Protected with Quantum Key Distribution</t>
  </si>
  <si>
    <t>https://ieeexplore.ieee.org/stamp/stamp.jsp?tp=&amp;arnumber=7925710 </t>
  </si>
  <si>
    <t xml:space="preserve">channel and physical link, </t>
  </si>
  <si>
    <t>Development of a Quantum-Based Cyber-Physical Testbed For Secure Communication in Nuclear Reactor Environments</t>
  </si>
  <si>
    <t>Deploying the Qline System for a QKD Metropolitan Network on the Berlin OpenQKD Testbed</t>
  </si>
  <si>
    <t>https://ieeexplore.ieee.org/abstract/document/10795138 </t>
  </si>
  <si>
    <t>Network and node architecture, channel and physical link, control, monitoring and operation, alice and bob</t>
  </si>
  <si>
    <t>MAQAN: India's Quantum Network Testbed</t>
  </si>
  <si>
    <t>https://ieeexplore.ieee.org/abstract/document/11249862 </t>
  </si>
  <si>
    <t>control, monitoring and operation</t>
  </si>
  <si>
    <t>Quantum key distribution: a survey on current vulnerability trends and potential implementation risks</t>
  </si>
  <si>
    <t>https://opg.optica.org/optcon/fulltext.cfm?uri=optcon-3-8-1438 </t>
  </si>
  <si>
    <t>Anomaly Classification in CV-QKD over DWDM: Differentiating System Faults from Quantum Attacks</t>
  </si>
  <si>
    <t>https://ieeexplore.ieee.org/stamp/stamp.jsp?tp=&amp;arnumber=11125358 </t>
  </si>
  <si>
    <t xml:space="preserve">Alice, Bob, </t>
  </si>
  <si>
    <t>Quantum attack-resistant resource allocation using reinforcement learning in CV-QKD over optical networks</t>
  </si>
  <si>
    <t>https://ieeexplore.ieee.org/abstract/document/10975570</t>
  </si>
  <si>
    <t>Side Channel Vulnerability in Parity Computation of Generic Key Reconciliation Process on QKD</t>
  </si>
  <si>
    <t>https://ieeexplore.ieee.org/stamp/stamp.jsp?tp=&amp;arnumber=9620820 </t>
  </si>
  <si>
    <t>Quantum Man-in-the-Middle Attacks on QKD Protocols: Proposal of a Novel Attack Strategy</t>
  </si>
  <si>
    <t>https://ieeexplore.ieee.org/stamp/stamp.jsp?tp=&amp;arnumber=10397711 </t>
  </si>
  <si>
    <t>Channel and physical link</t>
  </si>
  <si>
    <t>Demystifying Security Analysis of Intercept-and-Resend Attack Over Quantum Key Distribution (QKD) Protocols</t>
  </si>
  <si>
    <t>https://ieeexplore.ieee.org/stamp/stamp.jsp?tp=&amp;arnumber=11167114</t>
  </si>
  <si>
    <t>Experimental Validation of DV-QKD based Qline Architecture for Metropolitan Network on Berlin OpenQKD Testbed</t>
  </si>
  <si>
    <t>https://ieeexplore.ieee.org/stamp/stamp.jsp?tp=&amp;arnumber=10484768 </t>
  </si>
  <si>
    <t>Implementation of a Fiber-Based Quantum Key Distribution (QKD) Testbed Using Attenuated Laser Pusles</t>
  </si>
  <si>
    <t>https://ieeexplore.ieee.org/stamp/stamp.jsp?tp=&amp;arnumber=11218470 </t>
  </si>
  <si>
    <t>Benchmark Performance of Digital QKD Platform Using Quantum Permutation Pad</t>
  </si>
  <si>
    <t>https://ieeexplore.ieee.org/stamp/stamp.jsp?tp=&amp;arnumber=9913457 </t>
  </si>
  <si>
    <t xml:space="preserve">Alice, </t>
  </si>
  <si>
    <t>Dual-Layer Security: Integration of Simulated QKD and Experimental PLS for VLC</t>
  </si>
  <si>
    <t>https://ieeexplore.ieee.org/stamp/stamp.jsp?tp=&amp;arnumber=11162638 </t>
  </si>
  <si>
    <t>Development of active polarization tracking and compensation system for satellite-to-ground QKD</t>
  </si>
  <si>
    <t>https://ieeexplore.ieee.org/stamp/stamp.jsp?tp=&amp;arnumber=10463909 </t>
  </si>
  <si>
    <t>Deployment Environment and coexsistence</t>
  </si>
  <si>
    <t>Optimal temporal filtering for COW-QKD</t>
  </si>
  <si>
    <t>https://ieeexplore.ieee.org/stamp/stamp.jsp?tp=&amp;arnumber=9840768 </t>
  </si>
  <si>
    <t>A Survey of Quantum Key Distribution (QKD) Network Simulation Platforms</t>
  </si>
  <si>
    <t>https://ieeexplore.ieee.org/stamp/stamp.jsp?tp=&amp;arnumber=9587708 </t>
  </si>
  <si>
    <t xml:space="preserve">Alice, Bob, control, monitoring and operation, </t>
  </si>
  <si>
    <t>INRiM solutions for QKD real-world network implementations</t>
  </si>
  <si>
    <t>https://ieeexplore.ieee.org/stamp/stamp.jsp?tp=&amp;arnumber=10647793 </t>
  </si>
  <si>
    <t>State of the art</t>
  </si>
  <si>
    <t>Using QKD-exchanged keys for encryption of VPN</t>
  </si>
  <si>
    <t>https://ieeexplore.ieee.org/stamp/stamp.jsp?tp=&amp;arnumber=9983749 </t>
  </si>
  <si>
    <t>Alice, channel and physical link, Bob, deployment environment and cpexistence</t>
  </si>
  <si>
    <t>Demonstration of an Algorithm for Quantum State Generation in Polarization-Encoding QKD Systems</t>
  </si>
  <si>
    <t>https://ieeexplore.ieee.org/stamp/stamp.jsp?tp=&amp;arnumber=9748147 </t>
  </si>
  <si>
    <t>O-band QKD link over a multiple ONT loaded carrier-grade GPON for FTTH applications</t>
  </si>
  <si>
    <t>https://ieeexplore.ieee.org/stamp/stamp.jsp?tp=&amp;arnumber=10527105 </t>
  </si>
  <si>
    <t>Bob, channel and physical link</t>
  </si>
  <si>
    <t>Advances on Chip-Based QKD in Bristol Quantum Network</t>
  </si>
  <si>
    <t>https://ieeexplore.ieee.org/stamp/stamp.jsp?tp=&amp;arnumber=9542213 </t>
  </si>
  <si>
    <t>Demonstration of Autonomic End-to-End QoS Assurance over SDN-based QKD-Secured Optical Networks</t>
  </si>
  <si>
    <t>https://ieeexplore.ieee.org/stamp/stamp.jsp?tp=&amp;arnumber=10209908 </t>
  </si>
  <si>
    <t>state of the art</t>
  </si>
  <si>
    <t>Quality of Service Evaluation over a 496 km Quantum Key Distribution Network</t>
  </si>
  <si>
    <t>https://ieeexplore.ieee.org/stamp/stamp.jsp?tp=&amp;arnumber=9911280 </t>
  </si>
  <si>
    <t>Combating Deep Leakage from Gradients in Cross-Silo Federated Learning with QKD</t>
  </si>
  <si>
    <t>https://ieeexplore.ieee.org/stamp/stamp.jsp?tp=&amp;arnumber=11044743 </t>
  </si>
  <si>
    <t>Data acquisition and simulated tools for virtual QKD testbed access - examples from the OPENQD project</t>
  </si>
  <si>
    <t>https://ieeexplore.ieee.org/stamp/stamp.jsp?tp=&amp;arnumber=9606071 </t>
  </si>
  <si>
    <t>Quantum-Secure Microgrid</t>
  </si>
  <si>
    <t>https://ieeexplore.ieee.org/stamp/stamp.jsp?tp=&amp;arnumber=9145628 </t>
  </si>
  <si>
    <t>Alice, network and node, state of the art</t>
  </si>
  <si>
    <t>Toward a Complete Software Stack to Integrate Quantum Key Distribution in a Cloud Environment</t>
  </si>
  <si>
    <t>https://ieeexplore.ieee.org/stamp/stamp.jsp?tp=&amp;arnumber=9505594 </t>
  </si>
  <si>
    <t>Network and node, control, monitoring and operation</t>
  </si>
  <si>
    <t>Quantum Key Dsitribution Network Architectures</t>
  </si>
  <si>
    <t>https://ieeexplore.ieee.org/stamp/stamp.jsp?tp=&amp;arnumber=10628240 </t>
  </si>
  <si>
    <t>DV-QKD Coexsistence with 1.6 Tbps Classical Channels Over Hollow Core Fibre</t>
  </si>
  <si>
    <t>https://ieeexplore.ieee.org/stamp/stamp.jsp?tp=&amp;arnumber=9788032 </t>
  </si>
  <si>
    <t>Resource Allocation for Hybrid Quantum-Classical Communication Systems in Multiapplication-Enabled Power Grids</t>
  </si>
  <si>
    <t>https://ieeexplore.ieee.org/document/10695093 </t>
  </si>
  <si>
    <t>control, monitoring and operation, network and node architecture</t>
  </si>
  <si>
    <t>Tackling Denial of Service Attacks on Key Management in Software-Defined Quantum Key Distribution Networks</t>
  </si>
  <si>
    <t>https://ieeexplore.ieee.org/document/9919155 </t>
  </si>
  <si>
    <t>control, monitoring and operation, state of the art</t>
  </si>
  <si>
    <t>Quantum Key Distribution with Trusted Relay Using an ETSI-compliant Software-Defined Controller</t>
  </si>
  <si>
    <t>https://ieeexplore.ieee.org/document/10108347 </t>
  </si>
  <si>
    <t xml:space="preserve">network and node architecture, </t>
  </si>
  <si>
    <t>Multi-Qubit Size-Hopping Deutsch-Jozsa Algorithm with Qubit Reordering for Secure Quantum Key Distribution</t>
  </si>
  <si>
    <t>https://ieeexplore.ieee.org/document/9605282 </t>
  </si>
  <si>
    <t>state of the art, alice, bob</t>
  </si>
  <si>
    <t>Implementation of a Quantum Cryptographic Key Distribution System</t>
  </si>
  <si>
    <t>https://ieeexplore.ieee.org/document/892210 </t>
  </si>
  <si>
    <t xml:space="preserve">Alice, Bob, channel and physical link, </t>
  </si>
  <si>
    <t>Quantum-Secure Networked Microgrids</t>
  </si>
  <si>
    <t>https://ieeexplore.ieee.org/document/9281884 </t>
  </si>
  <si>
    <t>Control, monitoring and operation, channel and physical link, state of the art</t>
  </si>
  <si>
    <t>Frame Synchronization for Quantum Key Distribution Systems</t>
  </si>
  <si>
    <t>https://ieeexplore.ieee.org/document/10000815 </t>
  </si>
  <si>
    <t xml:space="preserve">Control, monitoring and operation, </t>
  </si>
  <si>
    <t>Site-To-Site Tunnels Authenticated by Quantum Keys</t>
  </si>
  <si>
    <t>https://ieeexplore.ieee.org/document/9975775 </t>
  </si>
  <si>
    <t xml:space="preserve">state of the art, </t>
  </si>
  <si>
    <t>AI-Assisted Polarization Basis Alignment for Quantum Key Distribution System Receivers</t>
  </si>
  <si>
    <t>https://ieeexplore.ieee.org/document/10207321 </t>
  </si>
  <si>
    <t>Entanglement-Based Quantum Key Distribution with Time and Frequency Dissemination on the Niedersachsen Quantum Link</t>
  </si>
  <si>
    <t>https://ieeexplore.ieee.org/document/10926661 </t>
  </si>
  <si>
    <t>"QKD" AND "testbeds": 8 hits IEEE 2 excluded due to overlap:</t>
  </si>
  <si>
    <t>Internet Sensor Network Testbeds (first result)</t>
  </si>
  <si>
    <t>https://ieeexplore.ieee.org/stamp/stamp.jsp?tp=&amp;arnumber=10614572 </t>
  </si>
  <si>
    <t>Large-scale quantum key distribution network simulator</t>
  </si>
  <si>
    <t>https://ieeexplore.ieee.org/document/10472408</t>
  </si>
  <si>
    <t xml:space="preserve">channel and physical link, network and node architecture, </t>
  </si>
  <si>
    <t>Simulations of Selected Quantum Key Distribution Network Use-Cases</t>
  </si>
  <si>
    <t>https://ieeexplore.ieee.org/document/10628405</t>
  </si>
  <si>
    <t>shorter version of previous</t>
  </si>
  <si>
    <t>The Rome Quantum Key Distribution and the EuroQCI program</t>
  </si>
  <si>
    <t>https://ieeexplore.ieee.org/document/11109135</t>
  </si>
  <si>
    <t>technical paper</t>
  </si>
  <si>
    <t>Design of a key management system for efficient key supply in quantum key distribution networks</t>
  </si>
  <si>
    <t>https://ieeexplore.ieee.org/document/11367362</t>
  </si>
  <si>
    <t>Bidirectional Coexistence of C-band Quantum Channelwith Four DWDM Classical Channels for Practical Deployment</t>
  </si>
  <si>
    <t>https://ieeexplore.ieee.org/document/10926122</t>
  </si>
  <si>
    <t>channel and physical link, deployment environment and coexistence</t>
  </si>
  <si>
    <t>Direct Search: Companies, organization, testbeds</t>
  </si>
  <si>
    <t>Categories:</t>
  </si>
  <si>
    <t>IEEE - "QKD" AND "testbed"</t>
  </si>
  <si>
    <t>IEEE: "QKD" AND "testbeds"</t>
  </si>
  <si>
    <t>IEEE: "QKD" AND ("testbed" OR "attack")</t>
  </si>
  <si>
    <t>Google Scholar: qkd AND testbed</t>
  </si>
  <si>
    <t>Snowballing</t>
  </si>
  <si>
    <t>https://doi.org/10.1088/2058-9565/acd1a8</t>
  </si>
  <si>
    <t>https://doi.org/10.1088/1367-2630/11/7/075001</t>
  </si>
  <si>
    <t>https://www.nzdr.ru/data/media/biblio/kolxoz/Cs/CsQc/Sergienko%20A.V.%20(ed.)%20Quantum%20Communications%20and%20cryptography%20(CRC,%202006)(ISBN%200849336848)(O)(249s)_CsQc_.pdf</t>
  </si>
  <si>
    <t>https://doi.org/10.1145/3634865.3634872</t>
  </si>
  <si>
    <t>https://doi.org/10.1038/s41534-024-00873-2</t>
  </si>
  <si>
    <t>https://ieeexplore.ieee.org/document/9489848</t>
  </si>
  <si>
    <t>https://doi.org/10.1364/OE.26.024260</t>
  </si>
  <si>
    <t>https://doi.org/10.1016/j.tcs.2014.09.018</t>
  </si>
  <si>
    <t>https://doi.org/10.1109/OJCOMS.2021.3106659</t>
  </si>
  <si>
    <t>https://doi.org/10.1109/MAES.2020.3015571</t>
  </si>
  <si>
    <t>https://doi.org/10.1038/ncomms1348</t>
  </si>
  <si>
    <t>https://doi.org/10.1080/09500340108240904</t>
  </si>
  <si>
    <t>https://doi.org/10.1088/1367-2630/12/11/113026</t>
  </si>
  <si>
    <t>https://doi.org/10.1080/09500340108240903</t>
  </si>
  <si>
    <t>https://doi.org/10.1088/1367-2630/11/6/065001</t>
  </si>
  <si>
    <t>https://doi.org/10.1080/09500340108240905</t>
  </si>
  <si>
    <t>https://doi.org/10.1103/PhysRevLett.107.110501</t>
  </si>
  <si>
    <t>https://doi.org/10.48550/arXiv.0802.4155</t>
  </si>
  <si>
    <t>https://doi.org/10.1016/j.tcs.2014.09.015</t>
  </si>
  <si>
    <t>https://doi.org/10.1364/OE.19.010387</t>
  </si>
  <si>
    <t>https://doi.org/10.1364/JOSAB.27.00A185</t>
  </si>
  <si>
    <t>https://doi.org/10.1088/1367-2630/11/10/105001</t>
  </si>
  <si>
    <t>https://doi.org/10.3390/e26020123</t>
  </si>
  <si>
    <t>https://doi.org/10.1109/ICTON.2019.8840238</t>
  </si>
  <si>
    <t>https://doi.org/10.1063/5.0070966</t>
  </si>
  <si>
    <t>https://doi.org/10.1109/THS.2012.6459843</t>
  </si>
  <si>
    <t>https://doi.org/10.1109/QCNC64685.2025.00031</t>
  </si>
  <si>
    <t>https://doi.org/10.1145/3490029</t>
  </si>
  <si>
    <t>https://doi.org/10.1109/WCNC.2017.7925710</t>
  </si>
  <si>
    <t>https://doi.org/10.1109/JPHOT.2024.3516138</t>
  </si>
  <si>
    <t>https://doi.org/10.1109/QCE65121.2025.10458</t>
  </si>
  <si>
    <t>https://doi.org/10.1364/OPTCON.530352</t>
  </si>
  <si>
    <t>https://doi.org/10.1109/ICTON67126.2025.11125358</t>
  </si>
  <si>
    <t>https://doi.org/10.1109/OECC54135.2024.10975570</t>
  </si>
  <si>
    <t>https://doi.org/10.1109/ICTC52510.2021.9620820</t>
  </si>
  <si>
    <t>https://doi.org/10.1109/IC3I59117.2023.10397711</t>
  </si>
  <si>
    <t>https://doi.org/10.1109/ICSCDS65426.2025.11167114</t>
  </si>
  <si>
    <t>https://doi.org/10.1049/icp.2023.2351</t>
  </si>
  <si>
    <t>https://doi.org/10.1109/SBFotonIOPC66433.2025.11218470</t>
  </si>
  <si>
    <t>https://doi.org/10.1109/ACCESS.2022.3212738</t>
  </si>
  <si>
    <t>https://doi.org/10.1109/LPT.2025.3609517</t>
  </si>
  <si>
    <t>https://doi.org/10.1109/MAPCON58678.2023.10463909</t>
  </si>
  <si>
    <t>https://doi.org/10.1109/SPCOM55316.2022.9840768</t>
  </si>
  <si>
    <t>https://doi.org/10.1109/GCAT52182.2021.9587708</t>
  </si>
  <si>
    <t>https://doi.org/10.1109/ICTON62926.2024.10647793</t>
  </si>
  <si>
    <t>https://doi.org/10.1109/TELFOR56187.2022.9983749</t>
  </si>
  <si>
    <t>https://ieeexplore.ieee.org/document/9748147</t>
  </si>
  <si>
    <t>https://ieeexplore.ieee.org/document/10527105</t>
  </si>
  <si>
    <t>https://doi.org/10.1109/CLEO/Europe-EQEC52157.2021.9542213</t>
  </si>
  <si>
    <t>https://doi.org/10.1109/OECC56963.2023.10209908</t>
  </si>
  <si>
    <t>https://doi.org/10.23919/SoftCOM55329.2022.9911280</t>
  </si>
  <si>
    <t>https://doi.org/10.1109/INFOCOM55648.2025.11044743</t>
  </si>
  <si>
    <t>https://doi.org/10.1109/ECOC52684.2021.9606071</t>
  </si>
  <si>
    <t>https://doi.org/10.1109/TPWRS.2020.3011071</t>
  </si>
  <si>
    <t>https://doi.org/10.1109/ACCESS.2021.3102313</t>
  </si>
  <si>
    <t>https://doi.org/10.1109/QCNC62729.2024.00056</t>
  </si>
  <si>
    <t>https://doi.org/10.1109/JLT.2022.3180232</t>
  </si>
  <si>
    <t>https://doi.org/10.1109/TII.2024.3452197</t>
  </si>
  <si>
    <t>https://doi.org/10.1109/ACCESS.2022.3214511</t>
  </si>
  <si>
    <t>https://doi.org/10.1109/DRCN57075.2023.10108347</t>
  </si>
  <si>
    <t>https://doi.org/10.1109/QCE52317.2021.00084</t>
  </si>
  <si>
    <t>https://doi.org/10.1109/TENCON.2000.892210</t>
  </si>
  <si>
    <t>https://doi.org/10.1109/PESGM41954.2020.9281884</t>
  </si>
  <si>
    <t>https://doi.org/10.1109/GLOBECOM48099.2022.10000815</t>
  </si>
  <si>
    <t>https://doi.org/10.1109/IPC53466.2022.9975775</t>
  </si>
  <si>
    <t>https://doi.org/10.1109/ICTON59386.2023.10207321</t>
  </si>
  <si>
    <t>https://ieeexplore.ieee.org/document/10926661</t>
  </si>
  <si>
    <t>https://doi.org/10.1109/SUM60964.2024.10614572</t>
  </si>
  <si>
    <t>https://doi.org/10.1364/JOCN.503356</t>
  </si>
  <si>
    <t>https://doi.org/10.1109/QCNC62729.2024.00037</t>
  </si>
  <si>
    <t>https://doi.org/10.1109/CLEO/Europe-EQEC65582.2025.11109135</t>
  </si>
  <si>
    <t>https://doi.org/10.1364/JOCN.577670</t>
  </si>
  <si>
    <t>https://www.researchgate.net/publication/374193033_Development_Of_A_Quantum-Based_Cyber-Physical_Testbed_For_Secure_Communications_In_Nuclear_Reactor_Environments</t>
  </si>
  <si>
    <t>Did not completely understand</t>
  </si>
  <si>
    <t>Hardware</t>
  </si>
  <si>
    <t>Software</t>
  </si>
  <si>
    <t>Threat</t>
  </si>
  <si>
    <t>Defense</t>
  </si>
  <si>
    <t>Mentioned threats:</t>
  </si>
  <si>
    <t>Mentioned defense:</t>
  </si>
  <si>
    <t>PNS-attack</t>
  </si>
  <si>
    <t>single-laser diode with intensity modulator, COW-protocol, decoy-protocol with weak, empty and vacuum pulses, long-delay line (but it is for channel)</t>
  </si>
  <si>
    <t>Weak coherent source (PNS)</t>
  </si>
  <si>
    <t>https://arxiv.org/pdf/2311.12791v2</t>
  </si>
  <si>
    <t>https://arxiv.org/pdf/1809.02291</t>
  </si>
  <si>
    <t>decoy-protocol</t>
  </si>
  <si>
    <t>https://www.sciencedirect.com/science/article/pii/S0304397514006963</t>
  </si>
  <si>
    <t>PNS-attack, side-channel on RNGs, Trojan Horse</t>
  </si>
  <si>
    <t>Decoy-protocol, TRNG, TEMPEST protection on QRNG, spectral filters, optical isolator</t>
  </si>
  <si>
    <t>https://ieeexplore.ieee.org/stamp/stamp.jsp?tp=&amp;arnumber=9520678</t>
  </si>
  <si>
    <t>Decoy-protocol</t>
  </si>
  <si>
    <t>https://ieeexplore.ieee.org/document/9374032</t>
  </si>
  <si>
    <t>PNS-attack, implementation flaws in decoy state, tricked to choosing non-optimal photon number, unambigious state discrimination attack (B92)</t>
  </si>
  <si>
    <t>decoy-protocol, MDI-QKD</t>
  </si>
  <si>
    <t>Large pulse attack, high-power destruction of optical components</t>
  </si>
  <si>
    <t>monitor incoming light</t>
  </si>
  <si>
    <t>phase-remapping attack</t>
  </si>
  <si>
    <t>https://www.tandfonline.com/doi/epdf/10.1080/09500340108240903?needAccess=true</t>
  </si>
  <si>
    <t>Trojan horse, multiphoton pulses</t>
  </si>
  <si>
    <t>https://iopscience.iop.org/article/10.1088/1367-2630/11/6/065001/pdf</t>
  </si>
  <si>
    <t>Information leakage from separate laser-diodes</t>
  </si>
  <si>
    <t>decoy-protocol, narrower spectral filtering, shorter gate windows</t>
  </si>
  <si>
    <t>https://arxiv.org/abs/0802.4155</t>
  </si>
  <si>
    <t>PNS, trojan-horse, Unambiguous state discrimination, B92,</t>
  </si>
  <si>
    <t xml:space="preserve">SARG04, optical isolator, strong reference pulse, </t>
  </si>
  <si>
    <t>https://arxiv.org/pdf/0906.4547</t>
  </si>
  <si>
    <t>multiphoton pulses, successive pulses are not independent, in plug&amp;play photons may be prepared by Eve, local oscillator, different letters in QKD alphabet</t>
  </si>
  <si>
    <t>change protocol, change source, adapt security proofs, actively randomize the phase add attenuation, monitor intensity (local oscillator), add beam-splitter</t>
  </si>
  <si>
    <t>https://opg.optica.org/josab/fulltext.cfm?uri=josab-27-6-A185</t>
  </si>
  <si>
    <t>https://opg.optica.org/oe/fulltext.cfm?uri=oe-13-2-660</t>
  </si>
  <si>
    <t xml:space="preserve">trojan horse, </t>
  </si>
  <si>
    <t>https://opg.optica.org/oe/fulltext.cfm?uri=oe-18-26-27217</t>
  </si>
  <si>
    <t>https://ieeexplore.ieee.org/document/8840238</t>
  </si>
  <si>
    <t>https://pubs.aip.org/aip/apr/article/9/1/011412/2835657</t>
  </si>
  <si>
    <t>multiphoton pulses</t>
  </si>
  <si>
    <t>https://ieeexplore.ieee.org/abstract/document/10795138</t>
  </si>
  <si>
    <t>weak coherent source</t>
  </si>
  <si>
    <t>Trojan horse, multiphoton pulses, pns, beam splitter, imperfect encoding, correlation between pulses, local oscillator, DoS in KMS</t>
  </si>
  <si>
    <r>
      <rPr>
        <sz val="11"/>
        <color rgb="FF000000"/>
        <rFont val="Aptos Narrow"/>
      </rPr>
      <t xml:space="preserve">monitor intenstity (Trojan horse), cow, decoy-protocol, </t>
    </r>
    <r>
      <rPr>
        <sz val="11"/>
        <color rgb="FFFF0000"/>
        <rFont val="Aptos Narrow"/>
      </rPr>
      <t>state-preparation</t>
    </r>
    <r>
      <rPr>
        <sz val="11"/>
        <color rgb="FF000000"/>
        <rFont val="Aptos Narrow"/>
      </rPr>
      <t>, SARG04, increase number of quantum states</t>
    </r>
  </si>
  <si>
    <t>https://ieeexplore.ieee.org/stamp/stamp.jsp?tp=&amp;arnumber=11125358&amp;tag=1</t>
  </si>
  <si>
    <t>PNS, trojan-horse, (B92),</t>
  </si>
  <si>
    <t xml:space="preserve">decoy-state, spectral monitoring, </t>
  </si>
  <si>
    <t>https://ieeexplore.ieee.org/stamp/stamp.jsp?tp=&amp;arnumber=10975570</t>
  </si>
  <si>
    <t xml:space="preserve">weak coherent source, </t>
  </si>
  <si>
    <t>https://ieeexplore.ieee.org/stamp/stamp.jsp?tp=&amp;arnumber=11218470&amp;tag=1</t>
  </si>
  <si>
    <t xml:space="preserve">PNS, </t>
  </si>
  <si>
    <t>cow</t>
  </si>
  <si>
    <t>https://ieeexplore.ieee.org/stamp/stamp.jsp?tp=&amp;arnumber=9913457</t>
  </si>
  <si>
    <t xml:space="preserve"> </t>
  </si>
  <si>
    <t>https://ieeexplore.ieee.org/stamp/stamp.jsp?tp=&amp;arnumber=11162638</t>
  </si>
  <si>
    <t>pns</t>
  </si>
  <si>
    <t>location-based Physical Layer Security</t>
  </si>
  <si>
    <t>https://ieeexplore.ieee.org/stamp/stamp.jsp?tp=&amp;arnumber=9840768</t>
  </si>
  <si>
    <t xml:space="preserve">cow, </t>
  </si>
  <si>
    <t>https://ieeexplore.ieee.org/stamp/stamp.jsp?tp=&amp;arnumber=9587708</t>
  </si>
  <si>
    <t>https://ieeexplore.ieee.org/stamp/stamp.jsp?tp=&amp;arnumber=9983749</t>
  </si>
  <si>
    <t>https://ieeexplore.ieee.org/stamp/stamp.jsp?tp=&amp;arnumber=9145628</t>
  </si>
  <si>
    <t xml:space="preserve">decoy protocol, </t>
  </si>
  <si>
    <t>https://ieeexplore.ieee.org/document/9605282</t>
  </si>
  <si>
    <t>https://ieeexplore.ieee.org/document/892210</t>
  </si>
  <si>
    <t>true single photon emitter</t>
  </si>
  <si>
    <t>x</t>
  </si>
  <si>
    <t>Mentioned threats</t>
  </si>
  <si>
    <t>Mentioned defense</t>
  </si>
  <si>
    <t>polarization fluctuations, nonlinear effects associated with high launch power, interchannel interference, raman scattering, nonlinear effects on quantum channel, distance, attenuations, DoS, raman scattering</t>
  </si>
  <si>
    <t>performance degration alarms for proactive diagnosis, use O-band for quantum channels and allocate channels at sufficiently spaced wavelengths</t>
  </si>
  <si>
    <t>crosstalk, noise enhancement by rayleigh scattering</t>
  </si>
  <si>
    <t>COW and time coding, time and polarization multiplexing, store in long delay line at Alice</t>
  </si>
  <si>
    <t>high channel loss, decoherence, atmospheric attenuation</t>
  </si>
  <si>
    <t>MDI-QKD, quantum repeater, trusted relay, satellites as intermediate nodes</t>
  </si>
  <si>
    <t>https://ieeexplore.ieee.org/stamp/stamp.jsp?tp=&amp;arnumber=9374032&amp;tag=1</t>
  </si>
  <si>
    <t>high loss when distance increases, rayleigh scattering loss</t>
  </si>
  <si>
    <t>quantum repeaters</t>
  </si>
  <si>
    <t>https://arxiv.org/pdf/1011.0105</t>
  </si>
  <si>
    <t xml:space="preserve">failure to authenticate classical channel, random scattering processes, distance, </t>
  </si>
  <si>
    <t>https://arxiv.org/pdf/1103.3566</t>
  </si>
  <si>
    <t>inter-fiber crosstalk, intercepting channel stream (high reflective mirror and injecting laser)</t>
  </si>
  <si>
    <t>spectral filtering, additional filtering, QBER alarm at threshold</t>
  </si>
  <si>
    <t xml:space="preserve">environmental factors, temperature fluctuations, mechanical stress, dedicated dark fiber, crosstalk, attenuation, dispersion, scattering, </t>
  </si>
  <si>
    <t xml:space="preserve">WDM-techniques, </t>
  </si>
  <si>
    <t>https://ieeexplore.ieee.org/document/10372894</t>
  </si>
  <si>
    <t xml:space="preserve">distance, attenuation, </t>
  </si>
  <si>
    <t>trusted network nodes</t>
  </si>
  <si>
    <t>https://ieeexplore.ieee.org/abstract/document/6459843</t>
  </si>
  <si>
    <t xml:space="preserve">excessive movement of fiber, distance, attenuation, dedicated dark fiber, </t>
  </si>
  <si>
    <t xml:space="preserve">trusted relay/node, multiplex two channels, </t>
  </si>
  <si>
    <t>https://dl.acm.org/doi/full/10.1145/3490029</t>
  </si>
  <si>
    <t xml:space="preserve">attenuation, noise, distance, </t>
  </si>
  <si>
    <t xml:space="preserve">length restriction, amplifiers (for classical channel), </t>
  </si>
  <si>
    <t>https://ieeexplore.ieee.org/stamp/stamp.jsp?tp=&amp;arnumber=7925710</t>
  </si>
  <si>
    <t>distance, additive white Gaussian noise, congested frequencies</t>
  </si>
  <si>
    <t>bands specific totarget application</t>
  </si>
  <si>
    <t>intercept-resend attack, traffic analysis, channel loss</t>
  </si>
  <si>
    <t>cv-qkd, dv-qkd</t>
  </si>
  <si>
    <t xml:space="preserve">distance, </t>
  </si>
  <si>
    <t>COW</t>
  </si>
  <si>
    <t>https://ieeexplore.ieee.org/stamp/stamp.jsp?tp=&amp;arnumber=9748147</t>
  </si>
  <si>
    <t xml:space="preserve">raman scattering, </t>
  </si>
  <si>
    <t xml:space="preserve">o-band, </t>
  </si>
  <si>
    <t>https://ieeexplore.ieee.org/stamp/stamp.jsp?tp=&amp;arnumber=10527105</t>
  </si>
  <si>
    <t>raman scattering, back reflections,</t>
  </si>
  <si>
    <t>https://ieeexplore.ieee.org/document/9281884</t>
  </si>
  <si>
    <t>distance, noise</t>
  </si>
  <si>
    <t>proper strategy</t>
  </si>
  <si>
    <t>unexpected optical losses, fiber noise, crosstalk, raman scattering</t>
  </si>
  <si>
    <t>separable fibers</t>
  </si>
  <si>
    <t>** not included</t>
  </si>
  <si>
    <t>fiber cutting</t>
  </si>
  <si>
    <t>adding more links and relays to mesh</t>
  </si>
  <si>
    <t>distance</t>
  </si>
  <si>
    <t>different telecommunication band</t>
  </si>
  <si>
    <t xml:space="preserve">Link: </t>
  </si>
  <si>
    <t>Threats</t>
  </si>
  <si>
    <t>Defenses</t>
  </si>
  <si>
    <t xml:space="preserve">Mentioned threats: </t>
  </si>
  <si>
    <t xml:space="preserve">Mentioned defense: </t>
  </si>
  <si>
    <t>fake-state attack, time-shift attack</t>
  </si>
  <si>
    <t xml:space="preserve">adjust properties of detectors, </t>
  </si>
  <si>
    <t xml:space="preserve">cooled detectors require recovery between each detection event (bottleneck), low quantum efficiency, high dark noise, after-pulsing problems, </t>
  </si>
  <si>
    <t>ideal single-photon detector (does not exist), time-shift attack, detector blinding attack, dead time attack</t>
  </si>
  <si>
    <t xml:space="preserve">design protocols that are secure against device imperfections (decoy state and MDI-QKD), MDI-QKD, </t>
  </si>
  <si>
    <t>Trojan horse, detector blinding attack, fake state attack, lack of symmetry between detectors, time shift attack, side-channel on RNGs</t>
  </si>
  <si>
    <t>spectral filters, actively monitor incoming light, bring back symmetry by performing 4-state modulation at B, TRNG, TEMPEST protection on QRNG</t>
  </si>
  <si>
    <t xml:space="preserve">detector blinding attacks, time-shift attacks, </t>
  </si>
  <si>
    <t>MDI-QKD, decoy state MDI-QKD,</t>
  </si>
  <si>
    <t>https://ieeexplore.ieee.org/stamp/stamp.jsp?tp=&amp;arnumber=9374032</t>
  </si>
  <si>
    <t>trojan horse, damaging components by use of a laser, DoS</t>
  </si>
  <si>
    <t xml:space="preserve">filter to block pulses of light with high intensity, use device independent models, use various filters, </t>
  </si>
  <si>
    <t xml:space="preserve">faked-state attack, </t>
  </si>
  <si>
    <t>separate watchdog detector, monitoring electrical and thermal parameters</t>
  </si>
  <si>
    <t>large pulse attack, high-power destruction of optical components, light emission from APDs during detections</t>
  </si>
  <si>
    <t>measurements</t>
  </si>
  <si>
    <t>https://arxiv.org/pdf/quant-ph/0104103</t>
  </si>
  <si>
    <t xml:space="preserve">Silicone APD emit light, </t>
  </si>
  <si>
    <t>optical filters, spatial filters</t>
  </si>
  <si>
    <t>https://arxiv.org/pdf/0802.4155</t>
  </si>
  <si>
    <t xml:space="preserve">high dark count rates, trojan horse, Silicone APD emit light when detecting photons, fake state attacks, time-shift attacks, </t>
  </si>
  <si>
    <t>optical isolator, additional monitoring detection (where light must go both ways)</t>
  </si>
  <si>
    <t xml:space="preserve">local oscillator, silicone APDs, faked state attack, time-shift attack, </t>
  </si>
  <si>
    <t>monitor intensity, add a beam-splitter, change photodiode, check that all detectors have the same timing statisitcs</t>
  </si>
  <si>
    <t>strong temperature changes</t>
  </si>
  <si>
    <t>state alignment mechanism</t>
  </si>
  <si>
    <t>dark counts, after pulsing</t>
  </si>
  <si>
    <t>dark counts, stray photons, after-pulsing</t>
  </si>
  <si>
    <t>dark counts, stray light</t>
  </si>
  <si>
    <t>https://opg.optica.org/optcon/fulltext.cfm?uri=optcon-3-8-1438</t>
  </si>
  <si>
    <t xml:space="preserve">bright light attack (double-click attack and detector-blinding attack), time-shift attack, back-flash attack, </t>
  </si>
  <si>
    <t>Bob must choose random outcome between both detectors, component isolation</t>
  </si>
  <si>
    <t>https://ieeexplore.ieee.org/stamp/stamp.jsp?tp=&amp;arnumber=11125358</t>
  </si>
  <si>
    <t>shifted filter frequency, narrow filter bandwidth, detector saturation,</t>
  </si>
  <si>
    <t xml:space="preserve">afterpulse, dark counts, </t>
  </si>
  <si>
    <t>back reflections</t>
  </si>
  <si>
    <t>faked-state attacks</t>
  </si>
  <si>
    <t>saturation attack</t>
  </si>
  <si>
    <t>Gaussian post-selection on measurement data</t>
  </si>
  <si>
    <t>node in adversary's hands</t>
  </si>
  <si>
    <t>physically secure locations, guards, organizational trust models,</t>
  </si>
  <si>
    <t>https://opg.optica.org/ol/fulltext.cfm?uri=ol-35-14-2454</t>
  </si>
  <si>
    <t>deployment of trusted nodes are difficult, reliance on trusted nodes, light-injection attacks</t>
  </si>
  <si>
    <t>use trusted-node-free topologies, photodetector for channel monitoring</t>
  </si>
  <si>
    <t>https://ieeexplore.ieee.org/stamp/stamp.jsp?tp=&amp;arnumber=9620820</t>
  </si>
  <si>
    <t>https://ieeexplore.ieee.org/stamp/stamp.jsp?tp=&amp;arnumber=10484768</t>
  </si>
  <si>
    <t>physical leaks (power consumption, electromagnetic radiation, cache relay, photonic emission)</t>
  </si>
  <si>
    <t>https://ieeexplore.ieee.org/stamp/stamp.jsp?tp=&amp;arnumber=11044743</t>
  </si>
  <si>
    <t>low rate of secret key distribution</t>
  </si>
  <si>
    <t>QuGrad (encrypt each gradient with just one bit of disposable secret keys)</t>
  </si>
  <si>
    <t>https://ieeexplore.ieee.org/stamp/stamp.jsp?tp=&amp;arnumber=9505594</t>
  </si>
  <si>
    <t>QKD based on quantum cryptography; prone to DoS</t>
  </si>
  <si>
    <t xml:space="preserve">Intrusion detection, prevention systems, </t>
  </si>
  <si>
    <t>https://ieeexplore.ieee.org/stamp/stamp.jsp?tp=&amp;arnumber=10628240</t>
  </si>
  <si>
    <t>non-trusted devices</t>
  </si>
  <si>
    <t>ensure their control</t>
  </si>
  <si>
    <t>https://ieeexplore.ieee.org/document/10695093</t>
  </si>
  <si>
    <t>DoS (keys)</t>
  </si>
  <si>
    <t>https://ieeexplore.ieee.org/document/10108347</t>
  </si>
  <si>
    <t>long-term stability</t>
  </si>
  <si>
    <t>source stabilization, state alignment, polarization control, delay synchronization</t>
  </si>
  <si>
    <t>DoS (noise over threshold limits), attacks on calibration procedures</t>
  </si>
  <si>
    <t>XORing keys obtained via key agreements realized over disjoint links</t>
  </si>
  <si>
    <t>https://arxiv.org/pdf/1103.2327</t>
  </si>
  <si>
    <t>calibration routines</t>
  </si>
  <si>
    <t>incorrectly distributed qubits</t>
  </si>
  <si>
    <t>conventional error correction, privacy amplifications routines</t>
  </si>
  <si>
    <t>https://iopscience.iop.org/article/10.1088/1367-2630/11/10/105001/pdf</t>
  </si>
  <si>
    <t>https://ieeexplore.ieee.org/abstract/document/11249862</t>
  </si>
  <si>
    <t xml:space="preserve">DoS, scarce entropy, inappropriate re-use of enropy, insecure storage, </t>
  </si>
  <si>
    <t>intrusion detection, prevention systems, TRNG, QRNG, security policy, limited access on need-to-use basis, procedure destroyng key</t>
  </si>
  <si>
    <t>DoS</t>
  </si>
  <si>
    <t>detect centrally in SDN</t>
  </si>
  <si>
    <t>https://ieeexplore.ieee.org/document/9919155</t>
  </si>
  <si>
    <t>DDoS</t>
  </si>
  <si>
    <t>firewall</t>
  </si>
  <si>
    <t>https://ieeexplore.ieee.org/document/10000815</t>
  </si>
  <si>
    <t>frame synchronization</t>
  </si>
  <si>
    <t>efficient algorithms</t>
  </si>
  <si>
    <t>https://ieeexplore.ieee.org/document/10207321</t>
  </si>
  <si>
    <t>https://ieeexplore.ieee.org/stamp/stamp.jsp?tp=&amp;arnumber=11367362</t>
  </si>
  <si>
    <t xml:space="preserve">DoS (reserving resources, without using them), </t>
  </si>
  <si>
    <t>multiplexing optical and quantum channels</t>
  </si>
  <si>
    <t>https://dl.acm.org/doi/pdf/10.1145/3634865.3634872</t>
  </si>
  <si>
    <t>temperature</t>
  </si>
  <si>
    <t>environmental fluctuations, photon leakage from neighboring fibers</t>
  </si>
  <si>
    <t>shared-fibre networks</t>
  </si>
  <si>
    <t>large wavelength separation</t>
  </si>
  <si>
    <t xml:space="preserve">environment fluctuations, </t>
  </si>
  <si>
    <t>https://ieeexplore.ieee.org/stamp/stamp.jsp?tp=&amp;arnumber=10463909</t>
  </si>
  <si>
    <t>satellite rotation</t>
  </si>
  <si>
    <t>https://ieeexplore.ieee.org/stamp/stamp.jsp?tp=&amp;arnumber=9788032</t>
  </si>
  <si>
    <t>co-existence quantum channel and optical channel</t>
  </si>
  <si>
    <t>large enough wavelength separation</t>
  </si>
  <si>
    <t xml:space="preserve">co-existence quantum channel and optical channel, </t>
  </si>
  <si>
    <t>Category count</t>
  </si>
  <si>
    <t>Hardware count</t>
  </si>
  <si>
    <t>Software count</t>
  </si>
  <si>
    <t>Threat count</t>
  </si>
  <si>
    <t>Countermeasure count</t>
  </si>
  <si>
    <t>Channel &amp; Physical Link</t>
  </si>
  <si>
    <t>Bob</t>
  </si>
  <si>
    <t>Control, Monitoring &amp; Operation</t>
  </si>
  <si>
    <t>Deployment Environment &amp; Coexistence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</si>
</sst>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Aptos Display"/>
      <scheme val="major"/>
    </font>
    <font>
      <b/>
      <sz val="11"/>
      <color rgb="FF000000"/>
      <name val="Aptos Narrow"/>
      <scheme val="minor"/>
    </font>
    <font>
      <sz val="11"/>
      <color rgb="FFFF0000"/>
      <name val="Aptos Narrow"/>
      <family val="2"/>
      <scheme val="minor"/>
    </font>
    <font>
      <sz val="11"/>
      <color rgb="FF000000"/>
      <name val="Aptos Narrow"/>
    </font>
    <font>
      <sz val="11"/>
      <color rgb="FFFF0000"/>
      <name val="Aptos Narrow"/>
    </font>
    <font>
      <sz val="11"/>
      <color theme="1"/>
      <name val="Aptos Narrow"/>
    </font>
    <font>
      <sz val="11"/>
      <color rgb="FF242424"/>
      <name val="Aptos Narrow"/>
      <charset val="1"/>
    </font>
    <font>
      <b/>
      <sz val="11"/>
      <color rgb="FF000000"/>
      <name val="Aptos Narrow"/>
      <charset val="1"/>
    </font>
  </fonts>
  <fills count="7">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0" xfId="0" applyFont="1"/>
    <xf numFmtId="0" fontId="2" fillId="0" borderId="0" xfId="1"/>
    <xf numFmtId="0" fontId="2" fillId="0" borderId="0" xfId="1" applyAlignment="1">
      <alignment wrapText="1"/>
    </xf>
    <xf numFmtId="0" fontId="0" fillId="0" borderId="0" xfId="0">
      <extLst>
        <ext xmlns:xfpb="http://schemas.microsoft.com/office/spreadsheetml/2022/featurepropertybag" uri="{C7286773-470A-42A8-94C5-96B5CB345126}">
          <xfpb:xfComplement i="0"/>
        </ext>
      </extLst>
    </xf>
    <xf numFmtId="0" fontId="3" fillId="0" borderId="0" xfId="0" applyFont="1"/>
    <xf numFmtId="0" fontId="0" fillId="0" borderId="0" xfId="0" applyAlignment="1">
      <alignment wrapText="1"/>
    </xf>
    <xf numFmtId="0" fontId="4" fillId="0" borderId="0" xfId="0" applyFont="1"/>
    <xf numFmtId="0" fontId="5" fillId="2" borderId="0" xfId="0" applyFont="1" applyFill="1"/>
    <xf numFmtId="0" fontId="8" fillId="0" borderId="0" xfId="0" applyFont="1"/>
    <xf numFmtId="0" fontId="9" fillId="0" borderId="0" xfId="0" applyFont="1"/>
    <xf numFmtId="0" fontId="0" fillId="3" borderId="0" xfId="0" applyFill="1"/>
    <xf numFmtId="0" fontId="0" fillId="2" borderId="0" xfId="0" applyFill="1"/>
    <xf numFmtId="0" fontId="0" fillId="4" borderId="0" xfId="0" applyFill="1"/>
    <xf numFmtId="0" fontId="0" fillId="5" borderId="0" xfId="0" applyFill="1"/>
    <xf numFmtId="0" fontId="0" fillId="6" borderId="0" xfId="0" applyFill="1"/>
    <xf numFmtId="0" fontId="2" fillId="0" borderId="0" xfId="1" applyFill="1"/>
    <xf numFmtId="0" fontId="10" fillId="0" borderId="0" xfId="0" applyFont="1"/>
  </cellXfs>
  <cellStyles count="2">
    <cellStyle name="Hyperlink" xfId="1" xr:uid="{00000000-000B-0000-0000-000008000000}"/>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Comprehensive Paper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Statistics!$D$5</c:f>
              <c:strCache>
                <c:ptCount val="1"/>
                <c:pt idx="0">
                  <c:v>Category count</c:v>
                </c:pt>
              </c:strCache>
            </c:strRef>
          </c:tx>
          <c:spPr>
            <a:solidFill>
              <a:schemeClr val="accent1"/>
            </a:solidFill>
            <a:ln>
              <a:noFill/>
            </a:ln>
            <a:effectLst/>
          </c:spPr>
          <c:invertIfNegative val="0"/>
          <c:cat>
            <c:strRef>
              <c:f>Statistics!$C$6:$C$11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Statistics!$D$6:$D$11</c:f>
              <c:numCache>
                <c:formatCode>General</c:formatCode>
                <c:ptCount val="6"/>
                <c:pt idx="0">
                  <c:v>31</c:v>
                </c:pt>
                <c:pt idx="1">
                  <c:v>23</c:v>
                </c:pt>
                <c:pt idx="2">
                  <c:v>30</c:v>
                </c:pt>
                <c:pt idx="3">
                  <c:v>17</c:v>
                </c:pt>
                <c:pt idx="4">
                  <c:v>19</c:v>
                </c:pt>
                <c:pt idx="5">
                  <c:v>12</c:v>
                </c:pt>
              </c:numCache>
            </c:numRef>
          </c:val>
          <c:extLst>
            <c:ext xmlns:c16="http://schemas.microsoft.com/office/drawing/2014/chart" uri="{C3380CC4-5D6E-409C-BE32-E72D297353CC}">
              <c16:uniqueId val="{00000000-4F1C-4D1B-AD34-E185CEEEE0DF}"/>
            </c:ext>
          </c:extLst>
        </c:ser>
        <c:ser>
          <c:idx val="1"/>
          <c:order val="1"/>
          <c:tx>
            <c:strRef>
              <c:f>Statistics!$E$5</c:f>
              <c:strCache>
                <c:ptCount val="1"/>
                <c:pt idx="0">
                  <c:v>Hardware count</c:v>
                </c:pt>
              </c:strCache>
            </c:strRef>
          </c:tx>
          <c:spPr>
            <a:solidFill>
              <a:schemeClr val="accent2"/>
            </a:solidFill>
            <a:ln>
              <a:noFill/>
            </a:ln>
            <a:effectLst/>
          </c:spPr>
          <c:invertIfNegative val="0"/>
          <c:cat>
            <c:strRef>
              <c:f>Statistics!$C$6:$C$11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Statistics!$E$6:$E$11</c:f>
              <c:numCache>
                <c:formatCode>General</c:formatCode>
                <c:ptCount val="6"/>
                <c:pt idx="0">
                  <c:v>20</c:v>
                </c:pt>
                <c:pt idx="1">
                  <c:v>23</c:v>
                </c:pt>
                <c:pt idx="2">
                  <c:v>29</c:v>
                </c:pt>
                <c:pt idx="3">
                  <c:v>13</c:v>
                </c:pt>
                <c:pt idx="4">
                  <c:v>7</c:v>
                </c:pt>
                <c:pt idx="5">
                  <c:v>10</c:v>
                </c:pt>
              </c:numCache>
            </c:numRef>
          </c:val>
          <c:extLst>
            <c:ext xmlns:c16="http://schemas.microsoft.com/office/drawing/2014/chart" uri="{C3380CC4-5D6E-409C-BE32-E72D297353CC}">
              <c16:uniqueId val="{00000002-4F1C-4D1B-AD34-E185CEEEE0DF}"/>
            </c:ext>
          </c:extLst>
        </c:ser>
        <c:ser>
          <c:idx val="2"/>
          <c:order val="2"/>
          <c:tx>
            <c:strRef>
              <c:f>Statistics!$F$5</c:f>
              <c:strCache>
                <c:ptCount val="1"/>
                <c:pt idx="0">
                  <c:v>Software count</c:v>
                </c:pt>
              </c:strCache>
            </c:strRef>
          </c:tx>
          <c:spPr>
            <a:solidFill>
              <a:schemeClr val="accent3"/>
            </a:solidFill>
            <a:ln>
              <a:noFill/>
            </a:ln>
            <a:effectLst/>
          </c:spPr>
          <c:invertIfNegative val="0"/>
          <c:cat>
            <c:strRef>
              <c:f>Statistics!$C$6:$C$11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Statistics!$F$6:$F$11</c:f>
              <c:numCache>
                <c:formatCode>General</c:formatCode>
                <c:ptCount val="6"/>
                <c:pt idx="0">
                  <c:v>26</c:v>
                </c:pt>
                <c:pt idx="1">
                  <c:v>21</c:v>
                </c:pt>
                <c:pt idx="2">
                  <c:v>27</c:v>
                </c:pt>
                <c:pt idx="3">
                  <c:v>16</c:v>
                </c:pt>
                <c:pt idx="4">
                  <c:v>17</c:v>
                </c:pt>
                <c:pt idx="5">
                  <c:v>12</c:v>
                </c:pt>
              </c:numCache>
            </c:numRef>
          </c:val>
          <c:extLst>
            <c:ext xmlns:c16="http://schemas.microsoft.com/office/drawing/2014/chart" uri="{C3380CC4-5D6E-409C-BE32-E72D297353CC}">
              <c16:uniqueId val="{00000004-4F1C-4D1B-AD34-E185CEEEE0DF}"/>
            </c:ext>
          </c:extLst>
        </c:ser>
        <c:ser>
          <c:idx val="3"/>
          <c:order val="3"/>
          <c:tx>
            <c:strRef>
              <c:f>Statistics!$G$5</c:f>
              <c:strCache>
                <c:ptCount val="1"/>
                <c:pt idx="0">
                  <c:v>Threat count</c:v>
                </c:pt>
              </c:strCache>
            </c:strRef>
          </c:tx>
          <c:spPr>
            <a:solidFill>
              <a:schemeClr val="accent4"/>
            </a:solidFill>
            <a:ln>
              <a:noFill/>
            </a:ln>
            <a:effectLst/>
          </c:spPr>
          <c:invertIfNegative val="0"/>
          <c:cat>
            <c:strRef>
              <c:f>Statistics!$C$6:$C$11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Statistics!$G$6:$G$11</c:f>
              <c:numCache>
                <c:formatCode>General</c:formatCode>
                <c:ptCount val="6"/>
                <c:pt idx="0">
                  <c:v>22</c:v>
                </c:pt>
                <c:pt idx="1">
                  <c:v>19</c:v>
                </c:pt>
                <c:pt idx="2">
                  <c:v>22</c:v>
                </c:pt>
                <c:pt idx="3">
                  <c:v>6</c:v>
                </c:pt>
                <c:pt idx="4">
                  <c:v>8</c:v>
                </c:pt>
                <c:pt idx="5">
                  <c:v>9</c:v>
                </c:pt>
              </c:numCache>
            </c:numRef>
          </c:val>
          <c:extLst>
            <c:ext xmlns:c16="http://schemas.microsoft.com/office/drawing/2014/chart" uri="{C3380CC4-5D6E-409C-BE32-E72D297353CC}">
              <c16:uniqueId val="{00000006-4F1C-4D1B-AD34-E185CEEEE0DF}"/>
            </c:ext>
          </c:extLst>
        </c:ser>
        <c:ser>
          <c:idx val="4"/>
          <c:order val="4"/>
          <c:tx>
            <c:strRef>
              <c:f>Statistics!$H$5</c:f>
              <c:strCache>
                <c:ptCount val="1"/>
                <c:pt idx="0">
                  <c:v>Countermeasure count</c:v>
                </c:pt>
              </c:strCache>
            </c:strRef>
          </c:tx>
          <c:spPr>
            <a:solidFill>
              <a:schemeClr val="accent5"/>
            </a:solidFill>
            <a:ln>
              <a:noFill/>
            </a:ln>
            <a:effectLst/>
          </c:spPr>
          <c:invertIfNegative val="0"/>
          <c:cat>
            <c:strRef>
              <c:f>Statistics!$C$6:$C$11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Statistics!$H$6:$H$11</c:f>
              <c:numCache>
                <c:formatCode>General</c:formatCode>
                <c:ptCount val="6"/>
                <c:pt idx="0">
                  <c:v>19</c:v>
                </c:pt>
                <c:pt idx="1">
                  <c:v>16</c:v>
                </c:pt>
                <c:pt idx="2">
                  <c:v>13</c:v>
                </c:pt>
                <c:pt idx="3">
                  <c:v>4</c:v>
                </c:pt>
                <c:pt idx="4">
                  <c:v>6</c:v>
                </c:pt>
                <c:pt idx="5">
                  <c:v>2</c:v>
                </c:pt>
              </c:numCache>
            </c:numRef>
          </c:val>
          <c:extLst>
            <c:ext xmlns:c16="http://schemas.microsoft.com/office/drawing/2014/chart" uri="{C3380CC4-5D6E-409C-BE32-E72D297353CC}">
              <c16:uniqueId val="{00000008-4F1C-4D1B-AD34-E185CEEEE0DF}"/>
            </c:ext>
          </c:extLst>
        </c:ser>
        <c:dLbls>
          <c:showLegendKey val="0"/>
          <c:showVal val="0"/>
          <c:showCatName val="0"/>
          <c:showSerName val="0"/>
          <c:showPercent val="0"/>
          <c:showBubbleSize val="0"/>
        </c:dLbls>
        <c:gapWidth val="219"/>
        <c:overlap val="-27"/>
        <c:axId val="2102170120"/>
        <c:axId val="2102172680"/>
      </c:barChart>
      <c:catAx>
        <c:axId val="210217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172680"/>
        <c:crosses val="autoZero"/>
        <c:auto val="1"/>
        <c:lblAlgn val="ctr"/>
        <c:lblOffset val="100"/>
        <c:noMultiLvlLbl val="0"/>
      </c:catAx>
      <c:valAx>
        <c:axId val="2102172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170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Comprehensive Paper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Statistics!$M$5</c:f>
              <c:strCache>
                <c:ptCount val="1"/>
                <c:pt idx="0">
                  <c:v>Category count</c:v>
                </c:pt>
              </c:strCache>
            </c:strRef>
          </c:tx>
          <c:spPr>
            <a:solidFill>
              <a:schemeClr val="accent1"/>
            </a:solidFill>
            <a:ln>
              <a:noFill/>
            </a:ln>
            <a:effectLst/>
          </c:spPr>
          <c:invertIfNegative val="0"/>
          <c:cat>
            <c:strRef>
              <c:f>Statistics!$L$6:$L$11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Statistics!$M$6:$M$11</c:f>
              <c:numCache>
                <c:formatCode>General</c:formatCode>
                <c:ptCount val="6"/>
                <c:pt idx="0">
                  <c:v>31</c:v>
                </c:pt>
                <c:pt idx="1">
                  <c:v>23</c:v>
                </c:pt>
                <c:pt idx="2">
                  <c:v>30</c:v>
                </c:pt>
                <c:pt idx="3">
                  <c:v>17</c:v>
                </c:pt>
                <c:pt idx="4">
                  <c:v>19</c:v>
                </c:pt>
                <c:pt idx="5">
                  <c:v>12</c:v>
                </c:pt>
              </c:numCache>
            </c:numRef>
          </c:val>
          <c:extLst>
            <c:ext xmlns:c16="http://schemas.microsoft.com/office/drawing/2014/chart" uri="{C3380CC4-5D6E-409C-BE32-E72D297353CC}">
              <c16:uniqueId val="{00000000-AF61-41EB-B3D8-54792DF04E8C}"/>
            </c:ext>
          </c:extLst>
        </c:ser>
        <c:ser>
          <c:idx val="1"/>
          <c:order val="1"/>
          <c:tx>
            <c:strRef>
              <c:f>Statistics!$N$5</c:f>
              <c:strCache>
                <c:ptCount val="1"/>
                <c:pt idx="0">
                  <c:v>Threat count</c:v>
                </c:pt>
              </c:strCache>
            </c:strRef>
          </c:tx>
          <c:spPr>
            <a:solidFill>
              <a:schemeClr val="accent2"/>
            </a:solidFill>
            <a:ln>
              <a:noFill/>
            </a:ln>
            <a:effectLst/>
          </c:spPr>
          <c:invertIfNegative val="0"/>
          <c:cat>
            <c:strRef>
              <c:f>Statistics!$L$6:$L$11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Statistics!$N$6:$N$11</c:f>
              <c:numCache>
                <c:formatCode>General</c:formatCode>
                <c:ptCount val="6"/>
                <c:pt idx="0">
                  <c:v>22</c:v>
                </c:pt>
                <c:pt idx="1">
                  <c:v>19</c:v>
                </c:pt>
                <c:pt idx="2">
                  <c:v>22</c:v>
                </c:pt>
                <c:pt idx="3">
                  <c:v>6</c:v>
                </c:pt>
                <c:pt idx="4">
                  <c:v>8</c:v>
                </c:pt>
                <c:pt idx="5">
                  <c:v>9</c:v>
                </c:pt>
              </c:numCache>
            </c:numRef>
          </c:val>
          <c:extLst>
            <c:ext xmlns:c16="http://schemas.microsoft.com/office/drawing/2014/chart" uri="{C3380CC4-5D6E-409C-BE32-E72D297353CC}">
              <c16:uniqueId val="{00000002-AF61-41EB-B3D8-54792DF04E8C}"/>
            </c:ext>
          </c:extLst>
        </c:ser>
        <c:ser>
          <c:idx val="2"/>
          <c:order val="2"/>
          <c:tx>
            <c:strRef>
              <c:f>Statistics!$O$5</c:f>
              <c:strCache>
                <c:ptCount val="1"/>
                <c:pt idx="0">
                  <c:v>Countermeasure count</c:v>
                </c:pt>
              </c:strCache>
            </c:strRef>
          </c:tx>
          <c:spPr>
            <a:solidFill>
              <a:schemeClr val="accent3"/>
            </a:solidFill>
            <a:ln>
              <a:noFill/>
            </a:ln>
            <a:effectLst/>
          </c:spPr>
          <c:invertIfNegative val="0"/>
          <c:cat>
            <c:strRef>
              <c:f>Statistics!$L$6:$L$11</c:f>
              <c:strCache>
                <c:ptCount val="6"/>
                <c:pt idx="0">
                  <c:v>Alice</c:v>
                </c:pt>
                <c:pt idx="1">
                  <c:v>Channel &amp; Physical Link</c:v>
                </c:pt>
                <c:pt idx="2">
                  <c:v>Bob</c:v>
                </c:pt>
                <c:pt idx="3">
                  <c:v>Network and Node Architecture</c:v>
                </c:pt>
                <c:pt idx="4">
                  <c:v>Control, Monitoring &amp; Operation</c:v>
                </c:pt>
                <c:pt idx="5">
                  <c:v>Deployment Environment &amp; Coexistence</c:v>
                </c:pt>
              </c:strCache>
            </c:strRef>
          </c:cat>
          <c:val>
            <c:numRef>
              <c:f>Statistics!$O$6:$O$11</c:f>
              <c:numCache>
                <c:formatCode>General</c:formatCode>
                <c:ptCount val="6"/>
                <c:pt idx="0">
                  <c:v>19</c:v>
                </c:pt>
                <c:pt idx="1">
                  <c:v>16</c:v>
                </c:pt>
                <c:pt idx="2">
                  <c:v>13</c:v>
                </c:pt>
                <c:pt idx="3">
                  <c:v>4</c:v>
                </c:pt>
                <c:pt idx="4">
                  <c:v>6</c:v>
                </c:pt>
                <c:pt idx="5">
                  <c:v>2</c:v>
                </c:pt>
              </c:numCache>
            </c:numRef>
          </c:val>
          <c:extLst>
            <c:ext xmlns:c16="http://schemas.microsoft.com/office/drawing/2014/chart" uri="{C3380CC4-5D6E-409C-BE32-E72D297353CC}">
              <c16:uniqueId val="{00000004-AF61-41EB-B3D8-54792DF04E8C}"/>
            </c:ext>
          </c:extLst>
        </c:ser>
        <c:dLbls>
          <c:showLegendKey val="0"/>
          <c:showVal val="0"/>
          <c:showCatName val="0"/>
          <c:showSerName val="0"/>
          <c:showPercent val="0"/>
          <c:showBubbleSize val="0"/>
        </c:dLbls>
        <c:gapWidth val="219"/>
        <c:overlap val="-27"/>
        <c:axId val="1484848647"/>
        <c:axId val="1094718983"/>
      </c:barChart>
      <c:catAx>
        <c:axId val="1484848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18983"/>
        <c:crosses val="autoZero"/>
        <c:auto val="1"/>
        <c:lblAlgn val="ctr"/>
        <c:lblOffset val="100"/>
        <c:noMultiLvlLbl val="0"/>
      </c:catAx>
      <c:valAx>
        <c:axId val="1094718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848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1247775</xdr:colOff>
      <xdr:row>14</xdr:row>
      <xdr:rowOff>28575</xdr:rowOff>
    </xdr:from>
    <xdr:to>
      <xdr:col>6</xdr:col>
      <xdr:colOff>371475</xdr:colOff>
      <xdr:row>28</xdr:row>
      <xdr:rowOff>104775</xdr:rowOff>
    </xdr:to>
    <xdr:graphicFrame macro="">
      <xdr:nvGraphicFramePr>
        <xdr:cNvPr id="6" name="Diagram 5">
          <a:extLst>
            <a:ext uri="{FF2B5EF4-FFF2-40B4-BE49-F238E27FC236}">
              <a16:creationId xmlns:a16="http://schemas.microsoft.com/office/drawing/2014/main" id="{0E6C5110-AA33-ED3A-EF47-187897162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409575</xdr:colOff>
      <xdr:row>13</xdr:row>
      <xdr:rowOff>57150</xdr:rowOff>
    </xdr:from>
    <xdr:to>
      <xdr:col>14</xdr:col>
      <xdr:colOff>676275</xdr:colOff>
      <xdr:row>27</xdr:row>
      <xdr:rowOff>133350</xdr:rowOff>
    </xdr:to>
    <xdr:graphicFrame macro="">
      <xdr:nvGraphicFramePr>
        <xdr:cNvPr id="2" name="Diagram 1">
          <a:extLst>
            <a:ext uri="{FF2B5EF4-FFF2-40B4-BE49-F238E27FC236}">
              <a16:creationId xmlns:a16="http://schemas.microsoft.com/office/drawing/2014/main" id="{F9456F52-635A-D655-23B3-2372B786819D}"/>
            </a:ext>
            <a:ext uri="{147F2762-F138-4A5C-976F-8EAC2B608ADB}">
              <a16:predDERef xmlns:a16="http://schemas.microsoft.com/office/drawing/2014/main" pred="{0E6C5110-AA33-ED3A-EF47-187897162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rxiv.org/pdf/2202.07764"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iopscience.iop.org/article/10.1088/1367-2630/11/10/105001/pdf" TargetMode="External"/><Relationship Id="rId21" Type="http://schemas.openxmlformats.org/officeDocument/2006/relationships/hyperlink" Target="https://arxiv.org/abs/0802.4155" TargetMode="External"/><Relationship Id="rId42" Type="http://schemas.openxmlformats.org/officeDocument/2006/relationships/hyperlink" Target="https://ieeexplore.ieee.org/stamp/stamp.jsp?tp=&amp;arnumber=10397711" TargetMode="External"/><Relationship Id="rId47" Type="http://schemas.openxmlformats.org/officeDocument/2006/relationships/hyperlink" Target="https://ieeexplore.ieee.org/stamp/stamp.jsp?tp=&amp;arnumber=11162638" TargetMode="External"/><Relationship Id="rId63" Type="http://schemas.openxmlformats.org/officeDocument/2006/relationships/hyperlink" Target="https://ieeexplore.ieee.org/stamp/stamp.jsp?tp=&amp;arnumber=9788032" TargetMode="External"/><Relationship Id="rId68" Type="http://schemas.openxmlformats.org/officeDocument/2006/relationships/hyperlink" Target="https://ieeexplore.ieee.org/document/892210" TargetMode="External"/><Relationship Id="rId16" Type="http://schemas.openxmlformats.org/officeDocument/2006/relationships/hyperlink" Target="https://arxiv.org/pdf/1005.2376" TargetMode="External"/><Relationship Id="rId11" Type="http://schemas.openxmlformats.org/officeDocument/2006/relationships/hyperlink" Target="https://www.sciencedirect.com/science/article/pii/S0304397514006963" TargetMode="External"/><Relationship Id="rId24" Type="http://schemas.openxmlformats.org/officeDocument/2006/relationships/hyperlink" Target="https://opg.optica.org/directpdfaccess/00ec1707-1eb3-4717-93e4a4b273a1cadd_199668/josab-27-6-a185.pdf?da=1&amp;id=199668&amp;seq=0&amp;mobile=no" TargetMode="External"/><Relationship Id="rId32" Type="http://schemas.openxmlformats.org/officeDocument/2006/relationships/hyperlink" Target="https://doi.org/10.1109/ICFSP59764.2023.10372894" TargetMode="External"/><Relationship Id="rId37" Type="http://schemas.openxmlformats.org/officeDocument/2006/relationships/hyperlink" Target="https://ieeexplore.ieee.org/abstract/document/10795138" TargetMode="External"/><Relationship Id="rId40" Type="http://schemas.openxmlformats.org/officeDocument/2006/relationships/hyperlink" Target="https://ieeexplore.ieee.org/stamp/stamp.jsp?tp=&amp;arnumber=11125358" TargetMode="External"/><Relationship Id="rId45" Type="http://schemas.openxmlformats.org/officeDocument/2006/relationships/hyperlink" Target="https://ieeexplore.ieee.org/stamp/stamp.jsp?tp=&amp;arnumber=11218470" TargetMode="External"/><Relationship Id="rId53" Type="http://schemas.openxmlformats.org/officeDocument/2006/relationships/hyperlink" Target="https://ieeexplore.ieee.org/stamp/stamp.jsp?tp=&amp;arnumber=9748147" TargetMode="External"/><Relationship Id="rId58" Type="http://schemas.openxmlformats.org/officeDocument/2006/relationships/hyperlink" Target="https://ieeexplore.ieee.org/stamp/stamp.jsp?tp=&amp;arnumber=11044743" TargetMode="External"/><Relationship Id="rId66" Type="http://schemas.openxmlformats.org/officeDocument/2006/relationships/hyperlink" Target="https://ieeexplore.ieee.org/document/10108347" TargetMode="External"/><Relationship Id="rId74" Type="http://schemas.openxmlformats.org/officeDocument/2006/relationships/hyperlink" Target="https://ieeexplore.ieee.org/abstract/document/10975570" TargetMode="External"/><Relationship Id="rId79" Type="http://schemas.openxmlformats.org/officeDocument/2006/relationships/hyperlink" Target="https://ieeexplore.ieee.org/document/11367362" TargetMode="External"/><Relationship Id="rId5" Type="http://schemas.openxmlformats.org/officeDocument/2006/relationships/hyperlink" Target="https://iopscience.iop.org/article/10.1088/1367-2630/11/7/075001/pdf" TargetMode="External"/><Relationship Id="rId61" Type="http://schemas.openxmlformats.org/officeDocument/2006/relationships/hyperlink" Target="https://ieeexplore.ieee.org/stamp/stamp.jsp?tp=&amp;arnumber=9505594" TargetMode="External"/><Relationship Id="rId19" Type="http://schemas.openxmlformats.org/officeDocument/2006/relationships/hyperlink" Target="https://arxiv.org/pdf/quant-ph/0104103" TargetMode="External"/><Relationship Id="rId14" Type="http://schemas.openxmlformats.org/officeDocument/2006/relationships/hyperlink" Target="https://arxiv.org/pdf/1011.0105" TargetMode="External"/><Relationship Id="rId22" Type="http://schemas.openxmlformats.org/officeDocument/2006/relationships/hyperlink" Target="https://arxiv.org/pdf/0906.4547" TargetMode="External"/><Relationship Id="rId27" Type="http://schemas.openxmlformats.org/officeDocument/2006/relationships/hyperlink" Target="https://doi.org/10.1364/OL.35.002454" TargetMode="External"/><Relationship Id="rId30" Type="http://schemas.openxmlformats.org/officeDocument/2006/relationships/hyperlink" Target="https://ieeexplore.ieee.org/stamp/stamp.jsp?tp=&amp;arnumber=8840238&amp;tag=1" TargetMode="External"/><Relationship Id="rId35" Type="http://schemas.openxmlformats.org/officeDocument/2006/relationships/hyperlink" Target="https://dl.acm.org/doi/full/10.1145/3490029" TargetMode="External"/><Relationship Id="rId43" Type="http://schemas.openxmlformats.org/officeDocument/2006/relationships/hyperlink" Target="https://ieeexplore.ieee.org/stamp/stamp.jsp?tp=&amp;arnumber=11167114" TargetMode="External"/><Relationship Id="rId48" Type="http://schemas.openxmlformats.org/officeDocument/2006/relationships/hyperlink" Target="https://ieeexplore.ieee.org/stamp/stamp.jsp?tp=&amp;arnumber=10463909" TargetMode="External"/><Relationship Id="rId56" Type="http://schemas.openxmlformats.org/officeDocument/2006/relationships/hyperlink" Target="https://ieeexplore.ieee.org/stamp/stamp.jsp?tp=&amp;arnumber=10209908" TargetMode="External"/><Relationship Id="rId64" Type="http://schemas.openxmlformats.org/officeDocument/2006/relationships/hyperlink" Target="https://ieeexplore.ieee.org/document/10695093" TargetMode="External"/><Relationship Id="rId69" Type="http://schemas.openxmlformats.org/officeDocument/2006/relationships/hyperlink" Target="https://ieeexplore.ieee.org/document/9281884" TargetMode="External"/><Relationship Id="rId77" Type="http://schemas.openxmlformats.org/officeDocument/2006/relationships/hyperlink" Target="https://ieeexplore.ieee.org/document/10628405" TargetMode="External"/><Relationship Id="rId8" Type="http://schemas.openxmlformats.org/officeDocument/2006/relationships/hyperlink" Target="https://arxiv.org/pdf/2311.12791v2" TargetMode="External"/><Relationship Id="rId51" Type="http://schemas.openxmlformats.org/officeDocument/2006/relationships/hyperlink" Target="https://ieeexplore.ieee.org/stamp/stamp.jsp?tp=&amp;arnumber=10647793" TargetMode="External"/><Relationship Id="rId72" Type="http://schemas.openxmlformats.org/officeDocument/2006/relationships/hyperlink" Target="https://ieeexplore.ieee.org/document/10207321" TargetMode="External"/><Relationship Id="rId80" Type="http://schemas.openxmlformats.org/officeDocument/2006/relationships/hyperlink" Target="https://ieeexplore.ieee.org/document/10926122" TargetMode="External"/><Relationship Id="rId3" Type="http://schemas.openxmlformats.org/officeDocument/2006/relationships/hyperlink" Target="https://www.toshiba.eu/quantum/products/quantum-key-distribution/flexible-qkd-system-le/" TargetMode="External"/><Relationship Id="rId12" Type="http://schemas.openxmlformats.org/officeDocument/2006/relationships/hyperlink" Target="https://ieeexplore.ieee.org/stamp/stamp.jsp?tp=&amp;arnumber=9520678" TargetMode="External"/><Relationship Id="rId17" Type="http://schemas.openxmlformats.org/officeDocument/2006/relationships/hyperlink" Target="https://www.tandfonline.com/doi/epdf/10.1080/09500340108240903?needAccess=true" TargetMode="External"/><Relationship Id="rId25" Type="http://schemas.openxmlformats.org/officeDocument/2006/relationships/hyperlink" Target="https://doi.org/10.1364/OPEX.13.000660" TargetMode="External"/><Relationship Id="rId33" Type="http://schemas.openxmlformats.org/officeDocument/2006/relationships/hyperlink" Target="https://ieeexplore.ieee.org/abstract/document/6459843" TargetMode="External"/><Relationship Id="rId38" Type="http://schemas.openxmlformats.org/officeDocument/2006/relationships/hyperlink" Target="https://ieeexplore.ieee.org/abstract/document/11249862" TargetMode="External"/><Relationship Id="rId46" Type="http://schemas.openxmlformats.org/officeDocument/2006/relationships/hyperlink" Target="https://ieeexplore.ieee.org/stamp/stamp.jsp?tp=&amp;arnumber=9913457" TargetMode="External"/><Relationship Id="rId59" Type="http://schemas.openxmlformats.org/officeDocument/2006/relationships/hyperlink" Target="https://ieeexplore.ieee.org/stamp/stamp.jsp?tp=&amp;arnumber=9606071" TargetMode="External"/><Relationship Id="rId67" Type="http://schemas.openxmlformats.org/officeDocument/2006/relationships/hyperlink" Target="https://ieeexplore.ieee.org/document/9605282" TargetMode="External"/><Relationship Id="rId20" Type="http://schemas.openxmlformats.org/officeDocument/2006/relationships/hyperlink" Target="https://arxiv.org/pdf/1103.2327" TargetMode="External"/><Relationship Id="rId41" Type="http://schemas.openxmlformats.org/officeDocument/2006/relationships/hyperlink" Target="https://ieeexplore.ieee.org/stamp/stamp.jsp?tp=&amp;arnumber=9620820" TargetMode="External"/><Relationship Id="rId54" Type="http://schemas.openxmlformats.org/officeDocument/2006/relationships/hyperlink" Target="https://ieeexplore.ieee.org/stamp/stamp.jsp?tp=&amp;arnumber=10527105" TargetMode="External"/><Relationship Id="rId62" Type="http://schemas.openxmlformats.org/officeDocument/2006/relationships/hyperlink" Target="https://ieeexplore.ieee.org/stamp/stamp.jsp?tp=&amp;arnumber=10628240" TargetMode="External"/><Relationship Id="rId70" Type="http://schemas.openxmlformats.org/officeDocument/2006/relationships/hyperlink" Target="https://ieeexplore.ieee.org/document/10000815" TargetMode="External"/><Relationship Id="rId75" Type="http://schemas.openxmlformats.org/officeDocument/2006/relationships/hyperlink" Target="https://ieeexplore.ieee.org/stamp/stamp.jsp?tp=&amp;arnumber=10614572" TargetMode="External"/><Relationship Id="rId1" Type="http://schemas.openxmlformats.org/officeDocument/2006/relationships/hyperlink" Target="https://www.toshiba.eu/quantum/products/quantum-key-distribution/long-distance-qkd-system-ld/" TargetMode="External"/><Relationship Id="rId6" Type="http://schemas.openxmlformats.org/officeDocument/2006/relationships/hyperlink" Target="https://www.nzdr.ru/data/media/biblio/kolxoz/Cs/CsQc/Sergienko%20A.V.%20(ed.)%20Quantum%20Communications%20and%20cryptography%20(CRC,%202006)(ISBN%200849336848)(O)(249s)_CsQc_.pdf" TargetMode="External"/><Relationship Id="rId15" Type="http://schemas.openxmlformats.org/officeDocument/2006/relationships/hyperlink" Target="https://www.tandfonline.com/doi/epdf/10.1080/09500340108240904?needAccess=true" TargetMode="External"/><Relationship Id="rId23" Type="http://schemas.openxmlformats.org/officeDocument/2006/relationships/hyperlink" Target="https://arxiv.org/pdf/1103.3566" TargetMode="External"/><Relationship Id="rId28" Type="http://schemas.openxmlformats.org/officeDocument/2006/relationships/hyperlink" Target="https://doi.org/10.1364/OE.18.027217" TargetMode="External"/><Relationship Id="rId36" Type="http://schemas.openxmlformats.org/officeDocument/2006/relationships/hyperlink" Target="https://ieeexplore.ieee.org/stamp/stamp.jsp?tp=&amp;arnumber=7925710" TargetMode="External"/><Relationship Id="rId49" Type="http://schemas.openxmlformats.org/officeDocument/2006/relationships/hyperlink" Target="https://ieeexplore.ieee.org/stamp/stamp.jsp?tp=&amp;arnumber=9840768" TargetMode="External"/><Relationship Id="rId57" Type="http://schemas.openxmlformats.org/officeDocument/2006/relationships/hyperlink" Target="https://ieeexplore.ieee.org/stamp/stamp.jsp?tp=&amp;arnumber=9911280" TargetMode="External"/><Relationship Id="rId10" Type="http://schemas.openxmlformats.org/officeDocument/2006/relationships/hyperlink" Target="https://arxiv.org/pdf/1809.02291" TargetMode="External"/><Relationship Id="rId31" Type="http://schemas.openxmlformats.org/officeDocument/2006/relationships/hyperlink" Target="https://pubs.aip.org/aip/apr/article/9/1/011412/2835657" TargetMode="External"/><Relationship Id="rId44" Type="http://schemas.openxmlformats.org/officeDocument/2006/relationships/hyperlink" Target="https://ieeexplore.ieee.org/stamp/stamp.jsp?tp=&amp;arnumber=10484768" TargetMode="External"/><Relationship Id="rId52" Type="http://schemas.openxmlformats.org/officeDocument/2006/relationships/hyperlink" Target="https://ieeexplore.ieee.org/stamp/stamp.jsp?tp=&amp;arnumber=9983749" TargetMode="External"/><Relationship Id="rId60" Type="http://schemas.openxmlformats.org/officeDocument/2006/relationships/hyperlink" Target="https://ieeexplore.ieee.org/stamp/stamp.jsp?tp=&amp;arnumber=9145628" TargetMode="External"/><Relationship Id="rId65" Type="http://schemas.openxmlformats.org/officeDocument/2006/relationships/hyperlink" Target="https://ieeexplore.ieee.org/document/9919155" TargetMode="External"/><Relationship Id="rId73" Type="http://schemas.openxmlformats.org/officeDocument/2006/relationships/hyperlink" Target="https://ieeexplore.ieee.org/document/10926661" TargetMode="External"/><Relationship Id="rId78" Type="http://schemas.openxmlformats.org/officeDocument/2006/relationships/hyperlink" Target="https://ieeexplore.ieee.org/document/11109135" TargetMode="External"/><Relationship Id="rId4" Type="http://schemas.openxmlformats.org/officeDocument/2006/relationships/hyperlink" Target="https://arxiv.org/pdf/2202.07764" TargetMode="External"/><Relationship Id="rId9" Type="http://schemas.openxmlformats.org/officeDocument/2006/relationships/hyperlink" Target="https://ieeexplore.ieee.org/stamp/stamp.jsp?tp=&amp;arnumber=9489848&amp;tag=1" TargetMode="External"/><Relationship Id="rId13" Type="http://schemas.openxmlformats.org/officeDocument/2006/relationships/hyperlink" Target="https://ieeexplore.ieee.org/stamp/stamp.jsp?tp=&amp;arnumber=9374032" TargetMode="External"/><Relationship Id="rId18" Type="http://schemas.openxmlformats.org/officeDocument/2006/relationships/hyperlink" Target="https://iopscience.iop.org/article/10.1088/1367-2630/11/6/065001/pdf" TargetMode="External"/><Relationship Id="rId39" Type="http://schemas.openxmlformats.org/officeDocument/2006/relationships/hyperlink" Target="https://opg.optica.org/optcon/fulltext.cfm?uri=optcon-3-8-1438" TargetMode="External"/><Relationship Id="rId34" Type="http://schemas.openxmlformats.org/officeDocument/2006/relationships/hyperlink" Target="https://ieeexplore.ieee.org/abstract/document/11000242" TargetMode="External"/><Relationship Id="rId50" Type="http://schemas.openxmlformats.org/officeDocument/2006/relationships/hyperlink" Target="https://ieeexplore.ieee.org/stamp/stamp.jsp?tp=&amp;arnumber=9587708" TargetMode="External"/><Relationship Id="rId55" Type="http://schemas.openxmlformats.org/officeDocument/2006/relationships/hyperlink" Target="https://ieeexplore.ieee.org/stamp/stamp.jsp?tp=&amp;arnumber=9542213" TargetMode="External"/><Relationship Id="rId76" Type="http://schemas.openxmlformats.org/officeDocument/2006/relationships/hyperlink" Target="https://ieeexplore.ieee.org/document/10472408" TargetMode="External"/><Relationship Id="rId7" Type="http://schemas.openxmlformats.org/officeDocument/2006/relationships/hyperlink" Target="https://dl.acm.org/doi/pdf/10.1145/3634865.3634872" TargetMode="External"/><Relationship Id="rId71" Type="http://schemas.openxmlformats.org/officeDocument/2006/relationships/hyperlink" Target="https://ieeexplore.ieee.org/document/9975775" TargetMode="External"/><Relationship Id="rId2" Type="http://schemas.openxmlformats.org/officeDocument/2006/relationships/hyperlink" Target="https://www.toshiba.eu/quantum/products/quantum-key-distribution/multiplexed-qkd-system-mu/" TargetMode="External"/><Relationship Id="rId29" Type="http://schemas.openxmlformats.org/officeDocument/2006/relationships/hyperlink" Target="https://www.mdpi.com/1099-4300/26/2/123"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oi.org/10.1109/WCNC.2017.7925710" TargetMode="External"/><Relationship Id="rId21" Type="http://schemas.openxmlformats.org/officeDocument/2006/relationships/hyperlink" Target="https://arxiv.org/abs/0802.4155" TargetMode="External"/><Relationship Id="rId42" Type="http://schemas.openxmlformats.org/officeDocument/2006/relationships/hyperlink" Target="https://ieeexplore.ieee.org/stamp/stamp.jsp?tp=&amp;arnumber=10397711" TargetMode="External"/><Relationship Id="rId63" Type="http://schemas.openxmlformats.org/officeDocument/2006/relationships/hyperlink" Target="https://ieeexplore.ieee.org/stamp/stamp.jsp?tp=&amp;arnumber=9788032" TargetMode="External"/><Relationship Id="rId84" Type="http://schemas.openxmlformats.org/officeDocument/2006/relationships/hyperlink" Target="https://www.toshiba.eu/quantum/products/quantum-key-distribution/flexible-qkd-system-le/" TargetMode="External"/><Relationship Id="rId138" Type="http://schemas.openxmlformats.org/officeDocument/2006/relationships/hyperlink" Target="https://doi.org/10.1109/OECC56963.2023.10209908" TargetMode="External"/><Relationship Id="rId159" Type="http://schemas.openxmlformats.org/officeDocument/2006/relationships/hyperlink" Target="https://doi.org/10.1109/CLEO/Europe-EQEC65582.2025.11109135" TargetMode="External"/><Relationship Id="rId107" Type="http://schemas.openxmlformats.org/officeDocument/2006/relationships/hyperlink" Target="https://doi.org/10.1088/1367-2630/11/10/105001" TargetMode="External"/><Relationship Id="rId11" Type="http://schemas.openxmlformats.org/officeDocument/2006/relationships/hyperlink" Target="https://www.sciencedirect.com/science/article/pii/S0304397514006963" TargetMode="External"/><Relationship Id="rId32" Type="http://schemas.openxmlformats.org/officeDocument/2006/relationships/hyperlink" Target="https://doi.org/10.1109/ICFSP59764.2023.10372894" TargetMode="External"/><Relationship Id="rId53" Type="http://schemas.openxmlformats.org/officeDocument/2006/relationships/hyperlink" Target="https://ieeexplore.ieee.org/stamp/stamp.jsp?tp=&amp;arnumber=9748147" TargetMode="External"/><Relationship Id="rId74" Type="http://schemas.openxmlformats.org/officeDocument/2006/relationships/hyperlink" Target="https://ieeexplore.ieee.org/abstract/document/10975570" TargetMode="External"/><Relationship Id="rId128" Type="http://schemas.openxmlformats.org/officeDocument/2006/relationships/hyperlink" Target="https://doi.org/10.1109/ACCESS.2022.3212738" TargetMode="External"/><Relationship Id="rId149" Type="http://schemas.openxmlformats.org/officeDocument/2006/relationships/hyperlink" Target="https://doi.org/10.1109/QCE52317.2021.00084" TargetMode="External"/><Relationship Id="rId5" Type="http://schemas.openxmlformats.org/officeDocument/2006/relationships/hyperlink" Target="https://iopscience.iop.org/article/10.1088/1367-2630/11/7/075001/pdf" TargetMode="External"/><Relationship Id="rId95" Type="http://schemas.openxmlformats.org/officeDocument/2006/relationships/hyperlink" Target="https://doi.org/10.1038/ncomms1348" TargetMode="External"/><Relationship Id="rId160" Type="http://schemas.openxmlformats.org/officeDocument/2006/relationships/hyperlink" Target="https://doi.org/10.1364/JOCN.577670" TargetMode="External"/><Relationship Id="rId22" Type="http://schemas.openxmlformats.org/officeDocument/2006/relationships/hyperlink" Target="https://arxiv.org/pdf/0906.4547" TargetMode="External"/><Relationship Id="rId43" Type="http://schemas.openxmlformats.org/officeDocument/2006/relationships/hyperlink" Target="https://ieeexplore.ieee.org/stamp/stamp.jsp?tp=&amp;arnumber=11167114" TargetMode="External"/><Relationship Id="rId64" Type="http://schemas.openxmlformats.org/officeDocument/2006/relationships/hyperlink" Target="https://ieeexplore.ieee.org/document/10695093" TargetMode="External"/><Relationship Id="rId118" Type="http://schemas.openxmlformats.org/officeDocument/2006/relationships/hyperlink" Target="https://doi.org/10.1109/JPHOT.2024.3516138" TargetMode="External"/><Relationship Id="rId139" Type="http://schemas.openxmlformats.org/officeDocument/2006/relationships/hyperlink" Target="https://doi.org/10.23919/SoftCOM55329.2022.9911280" TargetMode="External"/><Relationship Id="rId85" Type="http://schemas.openxmlformats.org/officeDocument/2006/relationships/hyperlink" Target="https://doi.org/10.1088/2058-9565/acd1a8" TargetMode="External"/><Relationship Id="rId150" Type="http://schemas.openxmlformats.org/officeDocument/2006/relationships/hyperlink" Target="https://doi.org/10.1109/TENCON.2000.892210" TargetMode="External"/><Relationship Id="rId12" Type="http://schemas.openxmlformats.org/officeDocument/2006/relationships/hyperlink" Target="https://ieeexplore.ieee.org/stamp/stamp.jsp?tp=&amp;arnumber=9520678" TargetMode="External"/><Relationship Id="rId17" Type="http://schemas.openxmlformats.org/officeDocument/2006/relationships/hyperlink" Target="https://www.tandfonline.com/doi/epdf/10.1080/09500340108240903?needAccess=true" TargetMode="External"/><Relationship Id="rId33" Type="http://schemas.openxmlformats.org/officeDocument/2006/relationships/hyperlink" Target="https://ieeexplore.ieee.org/abstract/document/6459843" TargetMode="External"/><Relationship Id="rId38" Type="http://schemas.openxmlformats.org/officeDocument/2006/relationships/hyperlink" Target="https://ieeexplore.ieee.org/abstract/document/11249862" TargetMode="External"/><Relationship Id="rId59" Type="http://schemas.openxmlformats.org/officeDocument/2006/relationships/hyperlink" Target="https://ieeexplore.ieee.org/stamp/stamp.jsp?tp=&amp;arnumber=9606071" TargetMode="External"/><Relationship Id="rId103" Type="http://schemas.openxmlformats.org/officeDocument/2006/relationships/hyperlink" Target="https://doi.org/10.1016/j.tcs.2014.09.015" TargetMode="External"/><Relationship Id="rId108" Type="http://schemas.openxmlformats.org/officeDocument/2006/relationships/hyperlink" Target="https://doi.org/10.1364/OL.35.002454" TargetMode="External"/><Relationship Id="rId124" Type="http://schemas.openxmlformats.org/officeDocument/2006/relationships/hyperlink" Target="https://doi.org/10.1109/IC3I59117.2023.10397711" TargetMode="External"/><Relationship Id="rId129" Type="http://schemas.openxmlformats.org/officeDocument/2006/relationships/hyperlink" Target="https://doi.org/10.1109/LPT.2025.3609517" TargetMode="External"/><Relationship Id="rId54" Type="http://schemas.openxmlformats.org/officeDocument/2006/relationships/hyperlink" Target="https://ieeexplore.ieee.org/stamp/stamp.jsp?tp=&amp;arnumber=10527105" TargetMode="External"/><Relationship Id="rId70" Type="http://schemas.openxmlformats.org/officeDocument/2006/relationships/hyperlink" Target="https://ieeexplore.ieee.org/document/10000815" TargetMode="External"/><Relationship Id="rId75" Type="http://schemas.openxmlformats.org/officeDocument/2006/relationships/hyperlink" Target="https://ieeexplore.ieee.org/stamp/stamp.jsp?tp=&amp;arnumber=10614572" TargetMode="External"/><Relationship Id="rId91" Type="http://schemas.openxmlformats.org/officeDocument/2006/relationships/hyperlink" Target="https://doi.org/10.1364/OE.26.024260" TargetMode="External"/><Relationship Id="rId96" Type="http://schemas.openxmlformats.org/officeDocument/2006/relationships/hyperlink" Target="https://doi.org/10.1080/09500340108240904" TargetMode="External"/><Relationship Id="rId140" Type="http://schemas.openxmlformats.org/officeDocument/2006/relationships/hyperlink" Target="https://doi.org/10.1109/INFOCOM55648.2025.11044743" TargetMode="External"/><Relationship Id="rId145" Type="http://schemas.openxmlformats.org/officeDocument/2006/relationships/hyperlink" Target="https://doi.org/10.1109/JLT.2022.3180232" TargetMode="External"/><Relationship Id="rId161" Type="http://schemas.openxmlformats.org/officeDocument/2006/relationships/hyperlink" Target="https://ieeexplore.ieee.org/document/10926122" TargetMode="External"/><Relationship Id="rId1" Type="http://schemas.openxmlformats.org/officeDocument/2006/relationships/hyperlink" Target="https://www.toshiba.eu/quantum/products/quantum-key-distribution/long-distance-qkd-system-ld/" TargetMode="External"/><Relationship Id="rId6" Type="http://schemas.openxmlformats.org/officeDocument/2006/relationships/hyperlink" Target="https://www.nzdr.ru/data/media/biblio/kolxoz/Cs/CsQc/Sergienko%20A.V.%20(ed.)%20Quantum%20Communications%20and%20cryptography%20(CRC,%202006)(ISBN%200849336848)(O)(249s)_CsQc_.pdf" TargetMode="External"/><Relationship Id="rId23" Type="http://schemas.openxmlformats.org/officeDocument/2006/relationships/hyperlink" Target="https://arxiv.org/pdf/1103.3566" TargetMode="External"/><Relationship Id="rId28" Type="http://schemas.openxmlformats.org/officeDocument/2006/relationships/hyperlink" Target="https://doi.org/10.1364/OE.18.027217" TargetMode="External"/><Relationship Id="rId49" Type="http://schemas.openxmlformats.org/officeDocument/2006/relationships/hyperlink" Target="https://ieeexplore.ieee.org/stamp/stamp.jsp?tp=&amp;arnumber=9840768" TargetMode="External"/><Relationship Id="rId114" Type="http://schemas.openxmlformats.org/officeDocument/2006/relationships/hyperlink" Target="https://doi.org/10.1109/THS.2012.6459843" TargetMode="External"/><Relationship Id="rId119" Type="http://schemas.openxmlformats.org/officeDocument/2006/relationships/hyperlink" Target="https://doi.org/10.1109/QCE65121.2025.10458" TargetMode="External"/><Relationship Id="rId44" Type="http://schemas.openxmlformats.org/officeDocument/2006/relationships/hyperlink" Target="https://ieeexplore.ieee.org/stamp/stamp.jsp?tp=&amp;arnumber=10484768" TargetMode="External"/><Relationship Id="rId60" Type="http://schemas.openxmlformats.org/officeDocument/2006/relationships/hyperlink" Target="https://ieeexplore.ieee.org/stamp/stamp.jsp?tp=&amp;arnumber=9145628" TargetMode="External"/><Relationship Id="rId65" Type="http://schemas.openxmlformats.org/officeDocument/2006/relationships/hyperlink" Target="https://ieeexplore.ieee.org/document/9919155" TargetMode="External"/><Relationship Id="rId81" Type="http://schemas.openxmlformats.org/officeDocument/2006/relationships/hyperlink" Target="https://www.researchgate.net/publication/374193033_Development_Of_A_Quantum-Based_Cyber-Physical_Testbed_For_Secure_Communications_In_Nuclear_Reactor_Environments" TargetMode="External"/><Relationship Id="rId86" Type="http://schemas.openxmlformats.org/officeDocument/2006/relationships/hyperlink" Target="https://doi.org/10.1088/1367-2630/11/7/075001" TargetMode="External"/><Relationship Id="rId130" Type="http://schemas.openxmlformats.org/officeDocument/2006/relationships/hyperlink" Target="https://doi.org/10.1109/MAPCON58678.2023.10463909" TargetMode="External"/><Relationship Id="rId135" Type="http://schemas.openxmlformats.org/officeDocument/2006/relationships/hyperlink" Target="https://ieeexplore.ieee.org/document/9748147" TargetMode="External"/><Relationship Id="rId151" Type="http://schemas.openxmlformats.org/officeDocument/2006/relationships/hyperlink" Target="https://doi.org/10.1109/PESGM41954.2020.9281884" TargetMode="External"/><Relationship Id="rId156" Type="http://schemas.openxmlformats.org/officeDocument/2006/relationships/hyperlink" Target="https://doi.org/10.1109/SUM60964.2024.10614572" TargetMode="External"/><Relationship Id="rId13" Type="http://schemas.openxmlformats.org/officeDocument/2006/relationships/hyperlink" Target="https://ieeexplore.ieee.org/stamp/stamp.jsp?tp=&amp;arnumber=9374032" TargetMode="External"/><Relationship Id="rId18" Type="http://schemas.openxmlformats.org/officeDocument/2006/relationships/hyperlink" Target="https://iopscience.iop.org/article/10.1088/1367-2630/11/6/065001/pdf" TargetMode="External"/><Relationship Id="rId39" Type="http://schemas.openxmlformats.org/officeDocument/2006/relationships/hyperlink" Target="https://opg.optica.org/optcon/fulltext.cfm?uri=optcon-3-8-1438" TargetMode="External"/><Relationship Id="rId109" Type="http://schemas.openxmlformats.org/officeDocument/2006/relationships/hyperlink" Target="https://doi.org/10.1364/OE.18.027217" TargetMode="External"/><Relationship Id="rId34" Type="http://schemas.openxmlformats.org/officeDocument/2006/relationships/hyperlink" Target="https://ieeexplore.ieee.org/abstract/document/11000242" TargetMode="External"/><Relationship Id="rId50" Type="http://schemas.openxmlformats.org/officeDocument/2006/relationships/hyperlink" Target="https://ieeexplore.ieee.org/stamp/stamp.jsp?tp=&amp;arnumber=9587708" TargetMode="External"/><Relationship Id="rId55" Type="http://schemas.openxmlformats.org/officeDocument/2006/relationships/hyperlink" Target="https://ieeexplore.ieee.org/stamp/stamp.jsp?tp=&amp;arnumber=9542213" TargetMode="External"/><Relationship Id="rId76" Type="http://schemas.openxmlformats.org/officeDocument/2006/relationships/hyperlink" Target="https://ieeexplore.ieee.org/document/10472408" TargetMode="External"/><Relationship Id="rId97" Type="http://schemas.openxmlformats.org/officeDocument/2006/relationships/hyperlink" Target="https://doi.org/10.1088/1367-2630/12/11/113026" TargetMode="External"/><Relationship Id="rId104" Type="http://schemas.openxmlformats.org/officeDocument/2006/relationships/hyperlink" Target="https://doi.org/10.1364/OE.19.010387" TargetMode="External"/><Relationship Id="rId120" Type="http://schemas.openxmlformats.org/officeDocument/2006/relationships/hyperlink" Target="https://doi.org/10.1364/OPTCON.530352" TargetMode="External"/><Relationship Id="rId125" Type="http://schemas.openxmlformats.org/officeDocument/2006/relationships/hyperlink" Target="https://doi.org/10.1109/ICSCDS65426.2025.11167114" TargetMode="External"/><Relationship Id="rId141" Type="http://schemas.openxmlformats.org/officeDocument/2006/relationships/hyperlink" Target="https://doi.org/10.1109/ECOC52684.2021.9606071" TargetMode="External"/><Relationship Id="rId146" Type="http://schemas.openxmlformats.org/officeDocument/2006/relationships/hyperlink" Target="https://doi.org/10.1109/TII.2024.3452197" TargetMode="External"/><Relationship Id="rId7" Type="http://schemas.openxmlformats.org/officeDocument/2006/relationships/hyperlink" Target="https://dl.acm.org/doi/pdf/10.1145/3634865.3634872" TargetMode="External"/><Relationship Id="rId71" Type="http://schemas.openxmlformats.org/officeDocument/2006/relationships/hyperlink" Target="https://ieeexplore.ieee.org/document/9975775" TargetMode="External"/><Relationship Id="rId92" Type="http://schemas.openxmlformats.org/officeDocument/2006/relationships/hyperlink" Target="https://doi.org/10.1016/j.tcs.2014.09.018" TargetMode="External"/><Relationship Id="rId162" Type="http://schemas.openxmlformats.org/officeDocument/2006/relationships/hyperlink" Target="https://www.researchgate.net/publication/374193033_Development_Of_A_Quantum-Based_Cyber-Physical_Testbed_For_Secure_Communications_In_Nuclear_Reactor_Environments" TargetMode="External"/><Relationship Id="rId2" Type="http://schemas.openxmlformats.org/officeDocument/2006/relationships/hyperlink" Target="https://www.toshiba.eu/quantum/products/quantum-key-distribution/multiplexed-qkd-system-mu/" TargetMode="External"/><Relationship Id="rId29" Type="http://schemas.openxmlformats.org/officeDocument/2006/relationships/hyperlink" Target="https://www.mdpi.com/1099-4300/26/2/123" TargetMode="External"/><Relationship Id="rId24" Type="http://schemas.openxmlformats.org/officeDocument/2006/relationships/hyperlink" Target="https://opg.optica.org/directpdfaccess/00ec1707-1eb3-4717-93e4a4b273a1cadd_199668/josab-27-6-a185.pdf?da=1&amp;id=199668&amp;seq=0&amp;mobile=no" TargetMode="External"/><Relationship Id="rId40" Type="http://schemas.openxmlformats.org/officeDocument/2006/relationships/hyperlink" Target="https://ieeexplore.ieee.org/stamp/stamp.jsp?tp=&amp;arnumber=11125358" TargetMode="External"/><Relationship Id="rId45" Type="http://schemas.openxmlformats.org/officeDocument/2006/relationships/hyperlink" Target="https://ieeexplore.ieee.org/stamp/stamp.jsp?tp=&amp;arnumber=11218470" TargetMode="External"/><Relationship Id="rId66" Type="http://schemas.openxmlformats.org/officeDocument/2006/relationships/hyperlink" Target="https://ieeexplore.ieee.org/document/10108347" TargetMode="External"/><Relationship Id="rId87" Type="http://schemas.openxmlformats.org/officeDocument/2006/relationships/hyperlink" Target="https://www.nzdr.ru/data/media/biblio/kolxoz/Cs/CsQc/Sergienko%20A.V.%20(ed.)%20Quantum%20Communications%20and%20cryptography%20(CRC,%202006)(ISBN%200849336848)(O)(249s)_CsQc_.pdf" TargetMode="External"/><Relationship Id="rId110" Type="http://schemas.openxmlformats.org/officeDocument/2006/relationships/hyperlink" Target="https://doi.org/10.3390/e26020123" TargetMode="External"/><Relationship Id="rId115" Type="http://schemas.openxmlformats.org/officeDocument/2006/relationships/hyperlink" Target="https://doi.org/10.1109/QCNC64685.2025.00031" TargetMode="External"/><Relationship Id="rId131" Type="http://schemas.openxmlformats.org/officeDocument/2006/relationships/hyperlink" Target="https://doi.org/10.1109/SPCOM55316.2022.9840768" TargetMode="External"/><Relationship Id="rId136" Type="http://schemas.openxmlformats.org/officeDocument/2006/relationships/hyperlink" Target="https://ieeexplore.ieee.org/document/10527105" TargetMode="External"/><Relationship Id="rId157" Type="http://schemas.openxmlformats.org/officeDocument/2006/relationships/hyperlink" Target="https://doi.org/10.1364/JOCN.503356" TargetMode="External"/><Relationship Id="rId61" Type="http://schemas.openxmlformats.org/officeDocument/2006/relationships/hyperlink" Target="https://ieeexplore.ieee.org/stamp/stamp.jsp?tp=&amp;arnumber=9505594" TargetMode="External"/><Relationship Id="rId82" Type="http://schemas.openxmlformats.org/officeDocument/2006/relationships/hyperlink" Target="https://www.toshiba.eu/quantum/products/quantum-key-distribution/long-distance-qkd-system-ld/" TargetMode="External"/><Relationship Id="rId152" Type="http://schemas.openxmlformats.org/officeDocument/2006/relationships/hyperlink" Target="https://doi.org/10.1109/GLOBECOM48099.2022.10000815" TargetMode="External"/><Relationship Id="rId19" Type="http://schemas.openxmlformats.org/officeDocument/2006/relationships/hyperlink" Target="https://arxiv.org/pdf/quant-ph/0104103" TargetMode="External"/><Relationship Id="rId14" Type="http://schemas.openxmlformats.org/officeDocument/2006/relationships/hyperlink" Target="https://arxiv.org/pdf/1011.0105" TargetMode="External"/><Relationship Id="rId30" Type="http://schemas.openxmlformats.org/officeDocument/2006/relationships/hyperlink" Target="https://ieeexplore.ieee.org/stamp/stamp.jsp?tp=&amp;arnumber=8840238&amp;tag=1" TargetMode="External"/><Relationship Id="rId35" Type="http://schemas.openxmlformats.org/officeDocument/2006/relationships/hyperlink" Target="https://dl.acm.org/doi/full/10.1145/3490029" TargetMode="External"/><Relationship Id="rId56" Type="http://schemas.openxmlformats.org/officeDocument/2006/relationships/hyperlink" Target="https://ieeexplore.ieee.org/stamp/stamp.jsp?tp=&amp;arnumber=10209908" TargetMode="External"/><Relationship Id="rId77" Type="http://schemas.openxmlformats.org/officeDocument/2006/relationships/hyperlink" Target="https://ieeexplore.ieee.org/document/10628405" TargetMode="External"/><Relationship Id="rId100" Type="http://schemas.openxmlformats.org/officeDocument/2006/relationships/hyperlink" Target="https://doi.org/10.1080/09500340108240905" TargetMode="External"/><Relationship Id="rId105" Type="http://schemas.openxmlformats.org/officeDocument/2006/relationships/hyperlink" Target="https://doi.org/10.1364/JOSAB.27.00A185" TargetMode="External"/><Relationship Id="rId126" Type="http://schemas.openxmlformats.org/officeDocument/2006/relationships/hyperlink" Target="https://doi.org/10.1049/icp.2023.2351" TargetMode="External"/><Relationship Id="rId147" Type="http://schemas.openxmlformats.org/officeDocument/2006/relationships/hyperlink" Target="https://doi.org/10.1109/ACCESS.2022.3214511" TargetMode="External"/><Relationship Id="rId8" Type="http://schemas.openxmlformats.org/officeDocument/2006/relationships/hyperlink" Target="https://arxiv.org/pdf/2311.12791v2" TargetMode="External"/><Relationship Id="rId51" Type="http://schemas.openxmlformats.org/officeDocument/2006/relationships/hyperlink" Target="https://ieeexplore.ieee.org/stamp/stamp.jsp?tp=&amp;arnumber=10647793" TargetMode="External"/><Relationship Id="rId72" Type="http://schemas.openxmlformats.org/officeDocument/2006/relationships/hyperlink" Target="https://ieeexplore.ieee.org/document/10207321" TargetMode="External"/><Relationship Id="rId93" Type="http://schemas.openxmlformats.org/officeDocument/2006/relationships/hyperlink" Target="https://doi.org/10.1109/OJCOMS.2021.3106659" TargetMode="External"/><Relationship Id="rId98" Type="http://schemas.openxmlformats.org/officeDocument/2006/relationships/hyperlink" Target="https://doi.org/10.1080/09500340108240903" TargetMode="External"/><Relationship Id="rId121" Type="http://schemas.openxmlformats.org/officeDocument/2006/relationships/hyperlink" Target="https://doi.org/10.1109/ICTON67126.2025.11125358" TargetMode="External"/><Relationship Id="rId142" Type="http://schemas.openxmlformats.org/officeDocument/2006/relationships/hyperlink" Target="https://doi.org/10.1109/TPWRS.2020.3011071" TargetMode="External"/><Relationship Id="rId3" Type="http://schemas.openxmlformats.org/officeDocument/2006/relationships/hyperlink" Target="https://www.toshiba.eu/quantum/products/quantum-key-distribution/flexible-qkd-system-le/" TargetMode="External"/><Relationship Id="rId25" Type="http://schemas.openxmlformats.org/officeDocument/2006/relationships/hyperlink" Target="https://doi.org/10.1364/OPEX.13.000660" TargetMode="External"/><Relationship Id="rId46" Type="http://schemas.openxmlformats.org/officeDocument/2006/relationships/hyperlink" Target="https://ieeexplore.ieee.org/stamp/stamp.jsp?tp=&amp;arnumber=9913457" TargetMode="External"/><Relationship Id="rId67" Type="http://schemas.openxmlformats.org/officeDocument/2006/relationships/hyperlink" Target="https://ieeexplore.ieee.org/document/9605282" TargetMode="External"/><Relationship Id="rId116" Type="http://schemas.openxmlformats.org/officeDocument/2006/relationships/hyperlink" Target="https://doi.org/10.1145/3490029" TargetMode="External"/><Relationship Id="rId137" Type="http://schemas.openxmlformats.org/officeDocument/2006/relationships/hyperlink" Target="https://doi.org/10.1109/CLEO/Europe-EQEC52157.2021.9542213" TargetMode="External"/><Relationship Id="rId158" Type="http://schemas.openxmlformats.org/officeDocument/2006/relationships/hyperlink" Target="https://doi.org/10.1109/QCNC62729.2024.00037" TargetMode="External"/><Relationship Id="rId20" Type="http://schemas.openxmlformats.org/officeDocument/2006/relationships/hyperlink" Target="https://arxiv.org/pdf/1103.2327" TargetMode="External"/><Relationship Id="rId41" Type="http://schemas.openxmlformats.org/officeDocument/2006/relationships/hyperlink" Target="https://ieeexplore.ieee.org/stamp/stamp.jsp?tp=&amp;arnumber=9620820" TargetMode="External"/><Relationship Id="rId62" Type="http://schemas.openxmlformats.org/officeDocument/2006/relationships/hyperlink" Target="https://ieeexplore.ieee.org/stamp/stamp.jsp?tp=&amp;arnumber=10628240" TargetMode="External"/><Relationship Id="rId83" Type="http://schemas.openxmlformats.org/officeDocument/2006/relationships/hyperlink" Target="https://www.toshiba.eu/quantum/products/quantum-key-distribution/multiplexed-qkd-system-mu/" TargetMode="External"/><Relationship Id="rId88" Type="http://schemas.openxmlformats.org/officeDocument/2006/relationships/hyperlink" Target="https://doi.org/10.1145/3634865.3634872" TargetMode="External"/><Relationship Id="rId111" Type="http://schemas.openxmlformats.org/officeDocument/2006/relationships/hyperlink" Target="https://doi.org/10.1109/ICTON.2019.8840238" TargetMode="External"/><Relationship Id="rId132" Type="http://schemas.openxmlformats.org/officeDocument/2006/relationships/hyperlink" Target="https://doi.org/10.1109/GCAT52182.2021.9587708" TargetMode="External"/><Relationship Id="rId153" Type="http://schemas.openxmlformats.org/officeDocument/2006/relationships/hyperlink" Target="https://doi.org/10.1109/IPC53466.2022.9975775" TargetMode="External"/><Relationship Id="rId15" Type="http://schemas.openxmlformats.org/officeDocument/2006/relationships/hyperlink" Target="https://www.tandfonline.com/doi/epdf/10.1080/09500340108240904?needAccess=true" TargetMode="External"/><Relationship Id="rId36" Type="http://schemas.openxmlformats.org/officeDocument/2006/relationships/hyperlink" Target="https://ieeexplore.ieee.org/stamp/stamp.jsp?tp=&amp;arnumber=7925710" TargetMode="External"/><Relationship Id="rId57" Type="http://schemas.openxmlformats.org/officeDocument/2006/relationships/hyperlink" Target="https://ieeexplore.ieee.org/stamp/stamp.jsp?tp=&amp;arnumber=9911280" TargetMode="External"/><Relationship Id="rId106" Type="http://schemas.openxmlformats.org/officeDocument/2006/relationships/hyperlink" Target="https://doi.org/10.1364/OPEX.13.000660" TargetMode="External"/><Relationship Id="rId127" Type="http://schemas.openxmlformats.org/officeDocument/2006/relationships/hyperlink" Target="https://doi.org/10.1109/SBFotonIOPC66433.2025.11218470" TargetMode="External"/><Relationship Id="rId10" Type="http://schemas.openxmlformats.org/officeDocument/2006/relationships/hyperlink" Target="https://arxiv.org/pdf/1809.02291" TargetMode="External"/><Relationship Id="rId31" Type="http://schemas.openxmlformats.org/officeDocument/2006/relationships/hyperlink" Target="https://pubs.aip.org/aip/apr/article/9/1/011412/2835657" TargetMode="External"/><Relationship Id="rId52" Type="http://schemas.openxmlformats.org/officeDocument/2006/relationships/hyperlink" Target="https://ieeexplore.ieee.org/stamp/stamp.jsp?tp=&amp;arnumber=9983749" TargetMode="External"/><Relationship Id="rId73" Type="http://schemas.openxmlformats.org/officeDocument/2006/relationships/hyperlink" Target="https://ieeexplore.ieee.org/document/10926661" TargetMode="External"/><Relationship Id="rId78" Type="http://schemas.openxmlformats.org/officeDocument/2006/relationships/hyperlink" Target="https://ieeexplore.ieee.org/document/11109135" TargetMode="External"/><Relationship Id="rId94" Type="http://schemas.openxmlformats.org/officeDocument/2006/relationships/hyperlink" Target="https://doi.org/10.1109/MAES.2020.3015571" TargetMode="External"/><Relationship Id="rId99" Type="http://schemas.openxmlformats.org/officeDocument/2006/relationships/hyperlink" Target="https://doi.org/10.1088/1367-2630/11/6/065001" TargetMode="External"/><Relationship Id="rId101" Type="http://schemas.openxmlformats.org/officeDocument/2006/relationships/hyperlink" Target="https://doi.org/10.1103/PhysRevLett.107.110501" TargetMode="External"/><Relationship Id="rId122" Type="http://schemas.openxmlformats.org/officeDocument/2006/relationships/hyperlink" Target="https://doi.org/10.1109/OECC54135.2024.10975570" TargetMode="External"/><Relationship Id="rId143" Type="http://schemas.openxmlformats.org/officeDocument/2006/relationships/hyperlink" Target="https://doi.org/10.1109/ACCESS.2021.3102313" TargetMode="External"/><Relationship Id="rId148" Type="http://schemas.openxmlformats.org/officeDocument/2006/relationships/hyperlink" Target="https://doi.org/10.1109/DRCN57075.2023.10108347" TargetMode="External"/><Relationship Id="rId4" Type="http://schemas.openxmlformats.org/officeDocument/2006/relationships/hyperlink" Target="https://arxiv.org/pdf/2202.07764" TargetMode="External"/><Relationship Id="rId9" Type="http://schemas.openxmlformats.org/officeDocument/2006/relationships/hyperlink" Target="https://ieeexplore.ieee.org/stamp/stamp.jsp?tp=&amp;arnumber=9489848&amp;tag=1" TargetMode="External"/><Relationship Id="rId26" Type="http://schemas.openxmlformats.org/officeDocument/2006/relationships/hyperlink" Target="https://iopscience.iop.org/article/10.1088/1367-2630/11/10/105001/pdf" TargetMode="External"/><Relationship Id="rId47" Type="http://schemas.openxmlformats.org/officeDocument/2006/relationships/hyperlink" Target="https://ieeexplore.ieee.org/stamp/stamp.jsp?tp=&amp;arnumber=11162638" TargetMode="External"/><Relationship Id="rId68" Type="http://schemas.openxmlformats.org/officeDocument/2006/relationships/hyperlink" Target="https://ieeexplore.ieee.org/document/892210" TargetMode="External"/><Relationship Id="rId89" Type="http://schemas.openxmlformats.org/officeDocument/2006/relationships/hyperlink" Target="https://doi.org/10.1038/s41534-024-00873-2" TargetMode="External"/><Relationship Id="rId112" Type="http://schemas.openxmlformats.org/officeDocument/2006/relationships/hyperlink" Target="https://doi.org/10.1063/5.0070966" TargetMode="External"/><Relationship Id="rId133" Type="http://schemas.openxmlformats.org/officeDocument/2006/relationships/hyperlink" Target="https://doi.org/10.1109/ICTON62926.2024.10647793" TargetMode="External"/><Relationship Id="rId154" Type="http://schemas.openxmlformats.org/officeDocument/2006/relationships/hyperlink" Target="https://doi.org/10.1109/ICTON59386.2023.10207321" TargetMode="External"/><Relationship Id="rId16" Type="http://schemas.openxmlformats.org/officeDocument/2006/relationships/hyperlink" Target="https://arxiv.org/pdf/1005.2376" TargetMode="External"/><Relationship Id="rId37" Type="http://schemas.openxmlformats.org/officeDocument/2006/relationships/hyperlink" Target="https://ieeexplore.ieee.org/abstract/document/10795138" TargetMode="External"/><Relationship Id="rId58" Type="http://schemas.openxmlformats.org/officeDocument/2006/relationships/hyperlink" Target="https://ieeexplore.ieee.org/stamp/stamp.jsp?tp=&amp;arnumber=11044743" TargetMode="External"/><Relationship Id="rId79" Type="http://schemas.openxmlformats.org/officeDocument/2006/relationships/hyperlink" Target="https://ieeexplore.ieee.org/document/11367362" TargetMode="External"/><Relationship Id="rId102" Type="http://schemas.openxmlformats.org/officeDocument/2006/relationships/hyperlink" Target="https://doi.org/10.48550/arXiv.0802.4155" TargetMode="External"/><Relationship Id="rId123" Type="http://schemas.openxmlformats.org/officeDocument/2006/relationships/hyperlink" Target="https://doi.org/10.1109/ICTC52510.2021.9620820" TargetMode="External"/><Relationship Id="rId144" Type="http://schemas.openxmlformats.org/officeDocument/2006/relationships/hyperlink" Target="https://doi.org/10.1109/QCNC62729.2024.00056" TargetMode="External"/><Relationship Id="rId90" Type="http://schemas.openxmlformats.org/officeDocument/2006/relationships/hyperlink" Target="https://ieeexplore.ieee.org/document/9489848" TargetMode="External"/><Relationship Id="rId27" Type="http://schemas.openxmlformats.org/officeDocument/2006/relationships/hyperlink" Target="https://doi.org/10.1364/OL.35.002454" TargetMode="External"/><Relationship Id="rId48" Type="http://schemas.openxmlformats.org/officeDocument/2006/relationships/hyperlink" Target="https://ieeexplore.ieee.org/stamp/stamp.jsp?tp=&amp;arnumber=10463909" TargetMode="External"/><Relationship Id="rId69" Type="http://schemas.openxmlformats.org/officeDocument/2006/relationships/hyperlink" Target="https://ieeexplore.ieee.org/document/9281884" TargetMode="External"/><Relationship Id="rId113" Type="http://schemas.openxmlformats.org/officeDocument/2006/relationships/hyperlink" Target="https://doi.org/10.1109/ICFSP59764.2023.10372894" TargetMode="External"/><Relationship Id="rId134" Type="http://schemas.openxmlformats.org/officeDocument/2006/relationships/hyperlink" Target="https://doi.org/10.1109/TELFOR56187.2022.9983749" TargetMode="External"/><Relationship Id="rId80" Type="http://schemas.openxmlformats.org/officeDocument/2006/relationships/hyperlink" Target="https://ieeexplore.ieee.org/document/10926122" TargetMode="External"/><Relationship Id="rId155" Type="http://schemas.openxmlformats.org/officeDocument/2006/relationships/hyperlink" Target="https://ieeexplore.ieee.org/document/10926661"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doi.org/10.1088/1367-2630/11/10/105001" TargetMode="External"/><Relationship Id="rId21" Type="http://schemas.openxmlformats.org/officeDocument/2006/relationships/hyperlink" Target="https://doi.org/10.48550/arXiv.0802.4155" TargetMode="External"/><Relationship Id="rId42" Type="http://schemas.openxmlformats.org/officeDocument/2006/relationships/hyperlink" Target="https://doi.org/10.1109/ICTC52510.2021.9620820" TargetMode="External"/><Relationship Id="rId47" Type="http://schemas.openxmlformats.org/officeDocument/2006/relationships/hyperlink" Target="https://doi.org/10.1109/ACCESS.2022.3212738" TargetMode="External"/><Relationship Id="rId63" Type="http://schemas.openxmlformats.org/officeDocument/2006/relationships/hyperlink" Target="https://doi.org/10.1109/QCNC62729.2024.00056" TargetMode="External"/><Relationship Id="rId68" Type="http://schemas.openxmlformats.org/officeDocument/2006/relationships/hyperlink" Target="https://doi.org/10.1109/QCE52317.2021.00084" TargetMode="External"/><Relationship Id="rId16" Type="http://schemas.openxmlformats.org/officeDocument/2006/relationships/hyperlink" Target="https://doi.org/10.1088/1367-2630/12/11/113026" TargetMode="External"/><Relationship Id="rId11" Type="http://schemas.openxmlformats.org/officeDocument/2006/relationships/hyperlink" Target="https://doi.org/10.1016/j.tcs.2014.09.018" TargetMode="External"/><Relationship Id="rId32" Type="http://schemas.openxmlformats.org/officeDocument/2006/relationships/hyperlink" Target="https://doi.org/10.1109/ICFSP59764.2023.10372894" TargetMode="External"/><Relationship Id="rId37" Type="http://schemas.openxmlformats.org/officeDocument/2006/relationships/hyperlink" Target="https://doi.org/10.1109/JPHOT.2024.3516138" TargetMode="External"/><Relationship Id="rId53" Type="http://schemas.openxmlformats.org/officeDocument/2006/relationships/hyperlink" Target="https://doi.org/10.1109/TELFOR56187.2022.9983749" TargetMode="External"/><Relationship Id="rId58" Type="http://schemas.openxmlformats.org/officeDocument/2006/relationships/hyperlink" Target="https://doi.org/10.23919/SoftCOM55329.2022.9911280" TargetMode="External"/><Relationship Id="rId74" Type="http://schemas.openxmlformats.org/officeDocument/2006/relationships/hyperlink" Target="https://ieeexplore.ieee.org/document/10926661" TargetMode="External"/><Relationship Id="rId79" Type="http://schemas.openxmlformats.org/officeDocument/2006/relationships/hyperlink" Target="https://doi.org/10.1364/JOCN.577670" TargetMode="External"/><Relationship Id="rId5" Type="http://schemas.openxmlformats.org/officeDocument/2006/relationships/hyperlink" Target="https://doi.org/10.1088/1367-2630/11/7/075001" TargetMode="External"/><Relationship Id="rId61" Type="http://schemas.openxmlformats.org/officeDocument/2006/relationships/hyperlink" Target="https://doi.org/10.1109/TPWRS.2020.3011071" TargetMode="External"/><Relationship Id="rId19" Type="http://schemas.openxmlformats.org/officeDocument/2006/relationships/hyperlink" Target="https://doi.org/10.1080/09500340108240905" TargetMode="External"/><Relationship Id="rId14" Type="http://schemas.openxmlformats.org/officeDocument/2006/relationships/hyperlink" Target="https://doi.org/10.1038/ncomms1348" TargetMode="External"/><Relationship Id="rId22" Type="http://schemas.openxmlformats.org/officeDocument/2006/relationships/hyperlink" Target="https://doi.org/10.1016/j.tcs.2014.09.015" TargetMode="External"/><Relationship Id="rId27" Type="http://schemas.openxmlformats.org/officeDocument/2006/relationships/hyperlink" Target="https://doi.org/10.1364/OL.35.002454" TargetMode="External"/><Relationship Id="rId30" Type="http://schemas.openxmlformats.org/officeDocument/2006/relationships/hyperlink" Target="https://doi.org/10.1109/ICTON.2019.8840238" TargetMode="External"/><Relationship Id="rId35" Type="http://schemas.openxmlformats.org/officeDocument/2006/relationships/hyperlink" Target="https://doi.org/10.1145/3490029" TargetMode="External"/><Relationship Id="rId43" Type="http://schemas.openxmlformats.org/officeDocument/2006/relationships/hyperlink" Target="https://doi.org/10.1109/IC3I59117.2023.10397711" TargetMode="External"/><Relationship Id="rId48" Type="http://schemas.openxmlformats.org/officeDocument/2006/relationships/hyperlink" Target="https://doi.org/10.1109/LPT.2025.3609517" TargetMode="External"/><Relationship Id="rId56" Type="http://schemas.openxmlformats.org/officeDocument/2006/relationships/hyperlink" Target="https://doi.org/10.1109/CLEO/Europe-EQEC52157.2021.9542213" TargetMode="External"/><Relationship Id="rId64" Type="http://schemas.openxmlformats.org/officeDocument/2006/relationships/hyperlink" Target="https://doi.org/10.1109/JLT.2022.3180232" TargetMode="External"/><Relationship Id="rId69" Type="http://schemas.openxmlformats.org/officeDocument/2006/relationships/hyperlink" Target="https://doi.org/10.1109/TENCON.2000.892210" TargetMode="External"/><Relationship Id="rId77" Type="http://schemas.openxmlformats.org/officeDocument/2006/relationships/hyperlink" Target="https://doi.org/10.1109/QCNC62729.2024.00037" TargetMode="External"/><Relationship Id="rId8" Type="http://schemas.openxmlformats.org/officeDocument/2006/relationships/hyperlink" Target="https://doi.org/10.1038/s41534-024-00873-2" TargetMode="External"/><Relationship Id="rId51" Type="http://schemas.openxmlformats.org/officeDocument/2006/relationships/hyperlink" Target="https://doi.org/10.1109/GCAT52182.2021.9587708" TargetMode="External"/><Relationship Id="rId72" Type="http://schemas.openxmlformats.org/officeDocument/2006/relationships/hyperlink" Target="https://doi.org/10.1109/IPC53466.2022.9975775" TargetMode="External"/><Relationship Id="rId80" Type="http://schemas.openxmlformats.org/officeDocument/2006/relationships/hyperlink" Target="https://ieeexplore.ieee.org/document/10926122" TargetMode="External"/><Relationship Id="rId3" Type="http://schemas.openxmlformats.org/officeDocument/2006/relationships/hyperlink" Target="https://www.toshiba.eu/quantum/products/quantum-key-distribution/flexible-qkd-system-le/" TargetMode="External"/><Relationship Id="rId12" Type="http://schemas.openxmlformats.org/officeDocument/2006/relationships/hyperlink" Target="https://doi.org/10.1109/OJCOMS.2021.3106659" TargetMode="External"/><Relationship Id="rId17" Type="http://schemas.openxmlformats.org/officeDocument/2006/relationships/hyperlink" Target="https://doi.org/10.1080/09500340108240903" TargetMode="External"/><Relationship Id="rId25" Type="http://schemas.openxmlformats.org/officeDocument/2006/relationships/hyperlink" Target="https://doi.org/10.1364/OPEX.13.000660" TargetMode="External"/><Relationship Id="rId33" Type="http://schemas.openxmlformats.org/officeDocument/2006/relationships/hyperlink" Target="https://doi.org/10.1109/THS.2012.6459843" TargetMode="External"/><Relationship Id="rId38" Type="http://schemas.openxmlformats.org/officeDocument/2006/relationships/hyperlink" Target="https://doi.org/10.1109/QCE65121.2025.10458" TargetMode="External"/><Relationship Id="rId46" Type="http://schemas.openxmlformats.org/officeDocument/2006/relationships/hyperlink" Target="https://doi.org/10.1109/SBFotonIOPC66433.2025.11218470" TargetMode="External"/><Relationship Id="rId59" Type="http://schemas.openxmlformats.org/officeDocument/2006/relationships/hyperlink" Target="https://doi.org/10.1109/INFOCOM55648.2025.11044743" TargetMode="External"/><Relationship Id="rId67" Type="http://schemas.openxmlformats.org/officeDocument/2006/relationships/hyperlink" Target="https://doi.org/10.1109/DRCN57075.2023.10108347" TargetMode="External"/><Relationship Id="rId20" Type="http://schemas.openxmlformats.org/officeDocument/2006/relationships/hyperlink" Target="https://doi.org/10.1103/PhysRevLett.107.110501" TargetMode="External"/><Relationship Id="rId41" Type="http://schemas.openxmlformats.org/officeDocument/2006/relationships/hyperlink" Target="https://doi.org/10.1109/OECC54135.2024.10975570" TargetMode="External"/><Relationship Id="rId54" Type="http://schemas.openxmlformats.org/officeDocument/2006/relationships/hyperlink" Target="https://ieeexplore.ieee.org/document/9748147" TargetMode="External"/><Relationship Id="rId62" Type="http://schemas.openxmlformats.org/officeDocument/2006/relationships/hyperlink" Target="https://doi.org/10.1109/ACCESS.2021.3102313" TargetMode="External"/><Relationship Id="rId70" Type="http://schemas.openxmlformats.org/officeDocument/2006/relationships/hyperlink" Target="https://doi.org/10.1109/PESGM41954.2020.9281884" TargetMode="External"/><Relationship Id="rId75" Type="http://schemas.openxmlformats.org/officeDocument/2006/relationships/hyperlink" Target="https://doi.org/10.1109/SUM60964.2024.10614572" TargetMode="External"/><Relationship Id="rId1" Type="http://schemas.openxmlformats.org/officeDocument/2006/relationships/hyperlink" Target="https://www.toshiba.eu/quantum/products/quantum-key-distribution/long-distance-qkd-system-ld/" TargetMode="External"/><Relationship Id="rId6" Type="http://schemas.openxmlformats.org/officeDocument/2006/relationships/hyperlink" Target="https://www.nzdr.ru/data/media/biblio/kolxoz/Cs/CsQc/Sergienko%20A.V.%20(ed.)%20Quantum%20Communications%20and%20cryptography%20(CRC,%202006)(ISBN%200849336848)(O)(249s)_CsQc_.pdf" TargetMode="External"/><Relationship Id="rId15" Type="http://schemas.openxmlformats.org/officeDocument/2006/relationships/hyperlink" Target="https://doi.org/10.1080/09500340108240904" TargetMode="External"/><Relationship Id="rId23" Type="http://schemas.openxmlformats.org/officeDocument/2006/relationships/hyperlink" Target="https://doi.org/10.1364/OE.19.010387" TargetMode="External"/><Relationship Id="rId28" Type="http://schemas.openxmlformats.org/officeDocument/2006/relationships/hyperlink" Target="https://doi.org/10.1364/OE.18.027217" TargetMode="External"/><Relationship Id="rId36" Type="http://schemas.openxmlformats.org/officeDocument/2006/relationships/hyperlink" Target="https://doi.org/10.1109/WCNC.2017.7925710" TargetMode="External"/><Relationship Id="rId49" Type="http://schemas.openxmlformats.org/officeDocument/2006/relationships/hyperlink" Target="https://doi.org/10.1109/MAPCON58678.2023.10463909" TargetMode="External"/><Relationship Id="rId57" Type="http://schemas.openxmlformats.org/officeDocument/2006/relationships/hyperlink" Target="https://doi.org/10.1109/OECC56963.2023.10209908" TargetMode="External"/><Relationship Id="rId10" Type="http://schemas.openxmlformats.org/officeDocument/2006/relationships/hyperlink" Target="https://doi.org/10.1364/OE.26.024260" TargetMode="External"/><Relationship Id="rId31" Type="http://schemas.openxmlformats.org/officeDocument/2006/relationships/hyperlink" Target="https://doi.org/10.1063/5.0070966" TargetMode="External"/><Relationship Id="rId44" Type="http://schemas.openxmlformats.org/officeDocument/2006/relationships/hyperlink" Target="https://doi.org/10.1109/ICSCDS65426.2025.11167114" TargetMode="External"/><Relationship Id="rId52" Type="http://schemas.openxmlformats.org/officeDocument/2006/relationships/hyperlink" Target="https://doi.org/10.1109/ICTON62926.2024.10647793" TargetMode="External"/><Relationship Id="rId60" Type="http://schemas.openxmlformats.org/officeDocument/2006/relationships/hyperlink" Target="https://doi.org/10.1109/ECOC52684.2021.9606071" TargetMode="External"/><Relationship Id="rId65" Type="http://schemas.openxmlformats.org/officeDocument/2006/relationships/hyperlink" Target="https://doi.org/10.1109/TII.2024.3452197" TargetMode="External"/><Relationship Id="rId73" Type="http://schemas.openxmlformats.org/officeDocument/2006/relationships/hyperlink" Target="https://doi.org/10.1109/ICTON59386.2023.10207321" TargetMode="External"/><Relationship Id="rId78" Type="http://schemas.openxmlformats.org/officeDocument/2006/relationships/hyperlink" Target="https://doi.org/10.1109/CLEO/Europe-EQEC65582.2025.11109135" TargetMode="External"/><Relationship Id="rId81" Type="http://schemas.openxmlformats.org/officeDocument/2006/relationships/hyperlink" Target="https://www.researchgate.net/publication/374193033_Development_Of_A_Quantum-Based_Cyber-Physical_Testbed_For_Secure_Communications_In_Nuclear_Reactor_Environments" TargetMode="External"/><Relationship Id="rId4" Type="http://schemas.openxmlformats.org/officeDocument/2006/relationships/hyperlink" Target="https://doi.org/10.1088/2058-9565/acd1a8" TargetMode="External"/><Relationship Id="rId9" Type="http://schemas.openxmlformats.org/officeDocument/2006/relationships/hyperlink" Target="https://ieeexplore.ieee.org/document/9489848" TargetMode="External"/><Relationship Id="rId13" Type="http://schemas.openxmlformats.org/officeDocument/2006/relationships/hyperlink" Target="https://doi.org/10.1109/MAES.2020.3015571" TargetMode="External"/><Relationship Id="rId18" Type="http://schemas.openxmlformats.org/officeDocument/2006/relationships/hyperlink" Target="https://doi.org/10.1088/1367-2630/11/6/065001" TargetMode="External"/><Relationship Id="rId39" Type="http://schemas.openxmlformats.org/officeDocument/2006/relationships/hyperlink" Target="https://doi.org/10.1364/OPTCON.530352" TargetMode="External"/><Relationship Id="rId34" Type="http://schemas.openxmlformats.org/officeDocument/2006/relationships/hyperlink" Target="https://doi.org/10.1109/QCNC64685.2025.00031" TargetMode="External"/><Relationship Id="rId50" Type="http://schemas.openxmlformats.org/officeDocument/2006/relationships/hyperlink" Target="https://doi.org/10.1109/SPCOM55316.2022.9840768" TargetMode="External"/><Relationship Id="rId55" Type="http://schemas.openxmlformats.org/officeDocument/2006/relationships/hyperlink" Target="https://ieeexplore.ieee.org/document/10527105" TargetMode="External"/><Relationship Id="rId76" Type="http://schemas.openxmlformats.org/officeDocument/2006/relationships/hyperlink" Target="https://doi.org/10.1364/JOCN.503356" TargetMode="External"/><Relationship Id="rId7" Type="http://schemas.openxmlformats.org/officeDocument/2006/relationships/hyperlink" Target="https://doi.org/10.1145/3634865.3634872" TargetMode="External"/><Relationship Id="rId71" Type="http://schemas.openxmlformats.org/officeDocument/2006/relationships/hyperlink" Target="https://doi.org/10.1109/GLOBECOM48099.2022.10000815" TargetMode="External"/><Relationship Id="rId2" Type="http://schemas.openxmlformats.org/officeDocument/2006/relationships/hyperlink" Target="https://www.toshiba.eu/quantum/products/quantum-key-distribution/multiplexed-qkd-system-mu/" TargetMode="External"/><Relationship Id="rId29" Type="http://schemas.openxmlformats.org/officeDocument/2006/relationships/hyperlink" Target="https://doi.org/10.3390/e26020123" TargetMode="External"/><Relationship Id="rId24" Type="http://schemas.openxmlformats.org/officeDocument/2006/relationships/hyperlink" Target="https://doi.org/10.1364/JOSAB.27.00A185" TargetMode="External"/><Relationship Id="rId40" Type="http://schemas.openxmlformats.org/officeDocument/2006/relationships/hyperlink" Target="https://doi.org/10.1109/ICTON67126.2025.11125358" TargetMode="External"/><Relationship Id="rId45" Type="http://schemas.openxmlformats.org/officeDocument/2006/relationships/hyperlink" Target="https://doi.org/10.1049/icp.2023.2351" TargetMode="External"/><Relationship Id="rId66" Type="http://schemas.openxmlformats.org/officeDocument/2006/relationships/hyperlink" Target="https://doi.org/10.1109/ACCESS.2022.3214511"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andfonline.com/doi/epdf/10.1080/09500340108240904?needAccess=true" TargetMode="External"/><Relationship Id="rId13" Type="http://schemas.openxmlformats.org/officeDocument/2006/relationships/hyperlink" Target="https://arxiv.org/pdf/0906.4547" TargetMode="External"/><Relationship Id="rId18" Type="http://schemas.openxmlformats.org/officeDocument/2006/relationships/hyperlink" Target="https://pubs.aip.org/aip/apr/article/9/1/011412/2835657" TargetMode="External"/><Relationship Id="rId26" Type="http://schemas.openxmlformats.org/officeDocument/2006/relationships/hyperlink" Target="https://ieeexplore.ieee.org/stamp/stamp.jsp?tp=&amp;arnumber=9840768" TargetMode="External"/><Relationship Id="rId3" Type="http://schemas.openxmlformats.org/officeDocument/2006/relationships/hyperlink" Target="https://arxiv.org/pdf/2311.12791v2" TargetMode="External"/><Relationship Id="rId21" Type="http://schemas.openxmlformats.org/officeDocument/2006/relationships/hyperlink" Target="https://ieeexplore.ieee.org/stamp/stamp.jsp?tp=&amp;arnumber=11125358&amp;tag=1" TargetMode="External"/><Relationship Id="rId7" Type="http://schemas.openxmlformats.org/officeDocument/2006/relationships/hyperlink" Target="https://ieeexplore.ieee.org/document/9374032" TargetMode="External"/><Relationship Id="rId12" Type="http://schemas.openxmlformats.org/officeDocument/2006/relationships/hyperlink" Target="https://arxiv.org/abs/0802.4155" TargetMode="External"/><Relationship Id="rId17" Type="http://schemas.openxmlformats.org/officeDocument/2006/relationships/hyperlink" Target="https://ieeexplore.ieee.org/document/8840238" TargetMode="External"/><Relationship Id="rId25" Type="http://schemas.openxmlformats.org/officeDocument/2006/relationships/hyperlink" Target="https://ieeexplore.ieee.org/stamp/stamp.jsp?tp=&amp;arnumber=11162638" TargetMode="External"/><Relationship Id="rId2" Type="http://schemas.openxmlformats.org/officeDocument/2006/relationships/hyperlink" Target="https://www.nzdr.ru/data/media/biblio/kolxoz/Cs/CsQc/Sergienko%20A.V.%20(ed.)%20Quantum%20Communications%20and%20cryptography%20(CRC,%202006)(ISBN%200849336848)(O)(249s)_CsQc_.pdf" TargetMode="External"/><Relationship Id="rId16" Type="http://schemas.openxmlformats.org/officeDocument/2006/relationships/hyperlink" Target="https://opg.optica.org/oe/fulltext.cfm?uri=oe-18-26-27217" TargetMode="External"/><Relationship Id="rId20" Type="http://schemas.openxmlformats.org/officeDocument/2006/relationships/hyperlink" Target="https://doi.org/10.1364/OPTCON.530352" TargetMode="External"/><Relationship Id="rId29" Type="http://schemas.openxmlformats.org/officeDocument/2006/relationships/hyperlink" Target="https://ieeexplore.ieee.org/stamp/stamp.jsp?tp=&amp;arnumber=9145628" TargetMode="External"/><Relationship Id="rId1" Type="http://schemas.openxmlformats.org/officeDocument/2006/relationships/hyperlink" Target="https://iopscience.iop.org/article/10.1088/1367-2630/11/7/075001/pdf" TargetMode="External"/><Relationship Id="rId6" Type="http://schemas.openxmlformats.org/officeDocument/2006/relationships/hyperlink" Target="https://ieeexplore.ieee.org/stamp/stamp.jsp?tp=&amp;arnumber=9520678" TargetMode="External"/><Relationship Id="rId11" Type="http://schemas.openxmlformats.org/officeDocument/2006/relationships/hyperlink" Target="https://iopscience.iop.org/article/10.1088/1367-2630/11/6/065001/pdf" TargetMode="External"/><Relationship Id="rId24" Type="http://schemas.openxmlformats.org/officeDocument/2006/relationships/hyperlink" Target="https://ieeexplore.ieee.org/stamp/stamp.jsp?tp=&amp;arnumber=9913457" TargetMode="External"/><Relationship Id="rId5" Type="http://schemas.openxmlformats.org/officeDocument/2006/relationships/hyperlink" Target="https://www.sciencedirect.com/science/article/pii/S0304397514006963" TargetMode="External"/><Relationship Id="rId15" Type="http://schemas.openxmlformats.org/officeDocument/2006/relationships/hyperlink" Target="https://opg.optica.org/oe/fulltext.cfm?uri=oe-13-2-660" TargetMode="External"/><Relationship Id="rId23" Type="http://schemas.openxmlformats.org/officeDocument/2006/relationships/hyperlink" Target="https://ieeexplore.ieee.org/stamp/stamp.jsp?tp=&amp;arnumber=11218470&amp;tag=1" TargetMode="External"/><Relationship Id="rId28" Type="http://schemas.openxmlformats.org/officeDocument/2006/relationships/hyperlink" Target="https://ieeexplore.ieee.org/stamp/stamp.jsp?tp=&amp;arnumber=9983749" TargetMode="External"/><Relationship Id="rId10" Type="http://schemas.openxmlformats.org/officeDocument/2006/relationships/hyperlink" Target="https://www.tandfonline.com/doi/epdf/10.1080/09500340108240903?needAccess=true" TargetMode="External"/><Relationship Id="rId19" Type="http://schemas.openxmlformats.org/officeDocument/2006/relationships/hyperlink" Target="https://ieeexplore.ieee.org/abstract/document/10795138" TargetMode="External"/><Relationship Id="rId31" Type="http://schemas.openxmlformats.org/officeDocument/2006/relationships/hyperlink" Target="https://ieeexplore.ieee.org/document/892210" TargetMode="External"/><Relationship Id="rId4" Type="http://schemas.openxmlformats.org/officeDocument/2006/relationships/hyperlink" Target="https://arxiv.org/pdf/1809.02291" TargetMode="External"/><Relationship Id="rId9" Type="http://schemas.openxmlformats.org/officeDocument/2006/relationships/hyperlink" Target="https://arxiv.org/pdf/1005.2376" TargetMode="External"/><Relationship Id="rId14" Type="http://schemas.openxmlformats.org/officeDocument/2006/relationships/hyperlink" Target="https://opg.optica.org/josab/fulltext.cfm?uri=josab-27-6-A185" TargetMode="External"/><Relationship Id="rId22" Type="http://schemas.openxmlformats.org/officeDocument/2006/relationships/hyperlink" Target="https://ieeexplore.ieee.org/stamp/stamp.jsp?tp=&amp;arnumber=10975570" TargetMode="External"/><Relationship Id="rId27" Type="http://schemas.openxmlformats.org/officeDocument/2006/relationships/hyperlink" Target="https://ieeexplore.ieee.org/stamp/stamp.jsp?tp=&amp;arnumber=9587708" TargetMode="External"/><Relationship Id="rId30" Type="http://schemas.openxmlformats.org/officeDocument/2006/relationships/hyperlink" Target="https://ieeexplore.ieee.org/document/960528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rxiv.org/pdf/1103.3566" TargetMode="External"/><Relationship Id="rId13" Type="http://schemas.openxmlformats.org/officeDocument/2006/relationships/hyperlink" Target="https://ieeexplore.ieee.org/stamp/stamp.jsp?tp=&amp;arnumber=7925710" TargetMode="External"/><Relationship Id="rId18" Type="http://schemas.openxmlformats.org/officeDocument/2006/relationships/hyperlink" Target="https://ieeexplore.ieee.org/stamp/stamp.jsp?tp=&amp;arnumber=10527105" TargetMode="External"/><Relationship Id="rId3" Type="http://schemas.openxmlformats.org/officeDocument/2006/relationships/hyperlink" Target="https://arxiv.org/pdf/2311.12791v2" TargetMode="External"/><Relationship Id="rId21" Type="http://schemas.openxmlformats.org/officeDocument/2006/relationships/hyperlink" Target="https://ieeexplore.ieee.org/document/10926661" TargetMode="External"/><Relationship Id="rId7" Type="http://schemas.openxmlformats.org/officeDocument/2006/relationships/hyperlink" Target="https://arxiv.org/abs/0802.4155" TargetMode="External"/><Relationship Id="rId12" Type="http://schemas.openxmlformats.org/officeDocument/2006/relationships/hyperlink" Target="https://dl.acm.org/doi/full/10.1145/3490029" TargetMode="External"/><Relationship Id="rId17" Type="http://schemas.openxmlformats.org/officeDocument/2006/relationships/hyperlink" Target="https://ieeexplore.ieee.org/stamp/stamp.jsp?tp=&amp;arnumber=9748147" TargetMode="External"/><Relationship Id="rId2" Type="http://schemas.openxmlformats.org/officeDocument/2006/relationships/hyperlink" Target="https://iopscience.iop.org/article/10.1088/1367-2630/11/7/075001/pdf" TargetMode="External"/><Relationship Id="rId16" Type="http://schemas.openxmlformats.org/officeDocument/2006/relationships/hyperlink" Target="https://ieeexplore.ieee.org/stamp/stamp.jsp?tp=&amp;arnumber=9983749" TargetMode="External"/><Relationship Id="rId20" Type="http://schemas.openxmlformats.org/officeDocument/2006/relationships/hyperlink" Target="https://ieeexplore.ieee.org/document/9281884" TargetMode="External"/><Relationship Id="rId1" Type="http://schemas.openxmlformats.org/officeDocument/2006/relationships/hyperlink" Target="https://arxiv.org/pdf/2202.07764" TargetMode="External"/><Relationship Id="rId6" Type="http://schemas.openxmlformats.org/officeDocument/2006/relationships/hyperlink" Target="https://arxiv.org/pdf/1011.0105" TargetMode="External"/><Relationship Id="rId11" Type="http://schemas.openxmlformats.org/officeDocument/2006/relationships/hyperlink" Target="https://ieeexplore.ieee.org/abstract/document/6459843" TargetMode="External"/><Relationship Id="rId24" Type="http://schemas.openxmlformats.org/officeDocument/2006/relationships/hyperlink" Target="https://ieeexplore.ieee.org/document/10926122" TargetMode="External"/><Relationship Id="rId5" Type="http://schemas.openxmlformats.org/officeDocument/2006/relationships/hyperlink" Target="https://ieeexplore.ieee.org/stamp/stamp.jsp?tp=&amp;arnumber=9374032&amp;tag=1" TargetMode="External"/><Relationship Id="rId15" Type="http://schemas.openxmlformats.org/officeDocument/2006/relationships/hyperlink" Target="https://ieeexplore.ieee.org/stamp/stamp.jsp?tp=&amp;arnumber=11167114" TargetMode="External"/><Relationship Id="rId23" Type="http://schemas.openxmlformats.org/officeDocument/2006/relationships/hyperlink" Target="https://ieeexplore.ieee.org/document/10472408" TargetMode="External"/><Relationship Id="rId10" Type="http://schemas.openxmlformats.org/officeDocument/2006/relationships/hyperlink" Target="https://ieeexplore.ieee.org/document/10372894" TargetMode="External"/><Relationship Id="rId19" Type="http://schemas.openxmlformats.org/officeDocument/2006/relationships/hyperlink" Target="https://ieeexplore.ieee.org/document/892210" TargetMode="External"/><Relationship Id="rId4" Type="http://schemas.openxmlformats.org/officeDocument/2006/relationships/hyperlink" Target="https://arxiv.org/pdf/1809.02291" TargetMode="External"/><Relationship Id="rId9" Type="http://schemas.openxmlformats.org/officeDocument/2006/relationships/hyperlink" Target="https://doi.org/10.1364/JOSAB.27.00A185" TargetMode="External"/><Relationship Id="rId14" Type="http://schemas.openxmlformats.org/officeDocument/2006/relationships/hyperlink" Target="https://ieeexplore.ieee.org/abstract/document/10795138" TargetMode="External"/><Relationship Id="rId22" Type="http://schemas.openxmlformats.org/officeDocument/2006/relationships/hyperlink" Target="https://www.nzdr.ru/data/media/biblio/kolxoz/Cs/CsQc/Sergienko%20A.V.%20(ed.)%20Quantum%20Communications%20and%20cryptography%20(CRC,%202006)(ISBN%200849336848)(O)(249s)_CsQc_.pd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rxiv.org/pdf/1011.0105" TargetMode="External"/><Relationship Id="rId13" Type="http://schemas.openxmlformats.org/officeDocument/2006/relationships/hyperlink" Target="https://arxiv.org/pdf/0906.4547" TargetMode="External"/><Relationship Id="rId18" Type="http://schemas.openxmlformats.org/officeDocument/2006/relationships/hyperlink" Target="https://pubs.aip.org/aip/apr/article/9/1/011412/2835657" TargetMode="External"/><Relationship Id="rId26" Type="http://schemas.openxmlformats.org/officeDocument/2006/relationships/hyperlink" Target="https://ieeexplore.ieee.org/stamp/stamp.jsp?tp=&amp;arnumber=9983749" TargetMode="External"/><Relationship Id="rId3" Type="http://schemas.openxmlformats.org/officeDocument/2006/relationships/hyperlink" Target="https://arxiv.org/pdf/2311.12791v2" TargetMode="External"/><Relationship Id="rId21" Type="http://schemas.openxmlformats.org/officeDocument/2006/relationships/hyperlink" Target="https://ieeexplore.ieee.org/stamp/stamp.jsp?tp=&amp;arnumber=11125358" TargetMode="External"/><Relationship Id="rId7" Type="http://schemas.openxmlformats.org/officeDocument/2006/relationships/hyperlink" Target="https://ieeexplore.ieee.org/stamp/stamp.jsp?tp=&amp;arnumber=9374032" TargetMode="External"/><Relationship Id="rId12" Type="http://schemas.openxmlformats.org/officeDocument/2006/relationships/hyperlink" Target="https://arxiv.org/pdf/0802.4155" TargetMode="External"/><Relationship Id="rId17" Type="http://schemas.openxmlformats.org/officeDocument/2006/relationships/hyperlink" Target="https://opg.optica.org/oe/fulltext.cfm?uri=oe-18-26-27217" TargetMode="External"/><Relationship Id="rId25" Type="http://schemas.openxmlformats.org/officeDocument/2006/relationships/hyperlink" Target="https://ieeexplore.ieee.org/stamp/stamp.jsp?tp=&amp;arnumber=9587708" TargetMode="External"/><Relationship Id="rId2" Type="http://schemas.openxmlformats.org/officeDocument/2006/relationships/hyperlink" Target="https://www.nzdr.ru/data/media/biblio/kolxoz/Cs/CsQc/Sergienko%20A.V.%20(ed.)%20Quantum%20Communications%20and%20cryptography%20(CRC,%202006)(ISBN%200849336848)(O)(249s)_CsQc_.pdf" TargetMode="External"/><Relationship Id="rId16" Type="http://schemas.openxmlformats.org/officeDocument/2006/relationships/hyperlink" Target="https://opg.optica.org/oe/fulltext.cfm?uri=oe-13-2-660" TargetMode="External"/><Relationship Id="rId20" Type="http://schemas.openxmlformats.org/officeDocument/2006/relationships/hyperlink" Target="https://opg.optica.org/optcon/fulltext.cfm?uri=optcon-3-8-1438" TargetMode="External"/><Relationship Id="rId29" Type="http://schemas.openxmlformats.org/officeDocument/2006/relationships/hyperlink" Target="https://ieeexplore.ieee.org/document/892210" TargetMode="External"/><Relationship Id="rId1" Type="http://schemas.openxmlformats.org/officeDocument/2006/relationships/hyperlink" Target="https://iopscience.iop.org/article/10.1088/1367-2630/11/7/075001/pdf" TargetMode="External"/><Relationship Id="rId6" Type="http://schemas.openxmlformats.org/officeDocument/2006/relationships/hyperlink" Target="https://ieeexplore.ieee.org/stamp/stamp.jsp?tp=&amp;arnumber=9520678" TargetMode="External"/><Relationship Id="rId11" Type="http://schemas.openxmlformats.org/officeDocument/2006/relationships/hyperlink" Target="https://arxiv.org/pdf/quant-ph/0104103" TargetMode="External"/><Relationship Id="rId24" Type="http://schemas.openxmlformats.org/officeDocument/2006/relationships/hyperlink" Target="https://ieeexplore.ieee.org/stamp/stamp.jsp?tp=&amp;arnumber=9840768" TargetMode="External"/><Relationship Id="rId5" Type="http://schemas.openxmlformats.org/officeDocument/2006/relationships/hyperlink" Target="https://www.sciencedirect.com/science/article/pii/S0304397514006963" TargetMode="External"/><Relationship Id="rId15" Type="http://schemas.openxmlformats.org/officeDocument/2006/relationships/hyperlink" Target="https://opg.optica.org/josab/fulltext.cfm?uri=josab-27-6-A185" TargetMode="External"/><Relationship Id="rId23" Type="http://schemas.openxmlformats.org/officeDocument/2006/relationships/hyperlink" Target="https://ieeexplore.ieee.org/stamp/stamp.jsp?tp=&amp;arnumber=11162638" TargetMode="External"/><Relationship Id="rId28" Type="http://schemas.openxmlformats.org/officeDocument/2006/relationships/hyperlink" Target="https://ieeexplore.ieee.org/document/9605282" TargetMode="External"/><Relationship Id="rId10" Type="http://schemas.openxmlformats.org/officeDocument/2006/relationships/hyperlink" Target="https://www.tandfonline.com/doi/epdf/10.1080/09500340108240903?needAccess=true" TargetMode="External"/><Relationship Id="rId19" Type="http://schemas.openxmlformats.org/officeDocument/2006/relationships/hyperlink" Target="https://ieeexplore.ieee.org/abstract/document/10795138" TargetMode="External"/><Relationship Id="rId4" Type="http://schemas.openxmlformats.org/officeDocument/2006/relationships/hyperlink" Target="https://arxiv.org/pdf/1809.02291" TargetMode="External"/><Relationship Id="rId9" Type="http://schemas.openxmlformats.org/officeDocument/2006/relationships/hyperlink" Target="https://www.tandfonline.com/doi/epdf/10.1080/09500340108240904?needAccess=true" TargetMode="External"/><Relationship Id="rId14" Type="http://schemas.openxmlformats.org/officeDocument/2006/relationships/hyperlink" Target="https://arxiv.org/pdf/1103.3566" TargetMode="External"/><Relationship Id="rId22" Type="http://schemas.openxmlformats.org/officeDocument/2006/relationships/hyperlink" Target="https://ieeexplore.ieee.org/stamp/stamp.jsp?tp=&amp;arnumber=11218470&amp;tag=1" TargetMode="External"/><Relationship Id="rId27" Type="http://schemas.openxmlformats.org/officeDocument/2006/relationships/hyperlink" Target="https://ieeexplore.ieee.org/stamp/stamp.jsp?tp=&amp;arnumber=10527105" TargetMode="External"/><Relationship Id="rId30" Type="http://schemas.openxmlformats.org/officeDocument/2006/relationships/hyperlink" Target="https://ieeexplore.ieee.org/abstract/document/1097557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eeexplore.ieee.org/abstract/document/10795138" TargetMode="External"/><Relationship Id="rId13" Type="http://schemas.openxmlformats.org/officeDocument/2006/relationships/hyperlink" Target="https://ieeexplore.ieee.org/stamp/stamp.jsp?tp=&amp;arnumber=9505594" TargetMode="External"/><Relationship Id="rId3" Type="http://schemas.openxmlformats.org/officeDocument/2006/relationships/hyperlink" Target="https://arxiv.org/pdf/2311.12791v2" TargetMode="External"/><Relationship Id="rId7" Type="http://schemas.openxmlformats.org/officeDocument/2006/relationships/hyperlink" Target="https://dl.acm.org/doi/full/10.1145/3490029" TargetMode="External"/><Relationship Id="rId12" Type="http://schemas.openxmlformats.org/officeDocument/2006/relationships/hyperlink" Target="https://ieeexplore.ieee.org/stamp/stamp.jsp?tp=&amp;arnumber=9145628" TargetMode="External"/><Relationship Id="rId17" Type="http://schemas.openxmlformats.org/officeDocument/2006/relationships/hyperlink" Target="https://ieeexplore.ieee.org/document/10472408" TargetMode="External"/><Relationship Id="rId2" Type="http://schemas.openxmlformats.org/officeDocument/2006/relationships/hyperlink" Target="https://www.nzdr.ru/data/media/biblio/kolxoz/Cs/CsQc/Sergienko%20A.V.%20(ed.)%20Quantum%20Communications%20and%20cryptography%20(CRC,%202006)(ISBN%200849336848)(O)(249s)_CsQc_.pdf" TargetMode="External"/><Relationship Id="rId16" Type="http://schemas.openxmlformats.org/officeDocument/2006/relationships/hyperlink" Target="https://ieeexplore.ieee.org/document/10108347" TargetMode="External"/><Relationship Id="rId1" Type="http://schemas.openxmlformats.org/officeDocument/2006/relationships/hyperlink" Target="https://iopscience.iop.org/article/10.1088/1367-2630/11/7/075001/pdf" TargetMode="External"/><Relationship Id="rId6" Type="http://schemas.openxmlformats.org/officeDocument/2006/relationships/hyperlink" Target="https://ieeexplore.ieee.org/document/10372894" TargetMode="External"/><Relationship Id="rId11" Type="http://schemas.openxmlformats.org/officeDocument/2006/relationships/hyperlink" Target="https://ieeexplore.ieee.org/stamp/stamp.jsp?tp=&amp;arnumber=11044743" TargetMode="External"/><Relationship Id="rId5" Type="http://schemas.openxmlformats.org/officeDocument/2006/relationships/hyperlink" Target="https://www.mdpi.com/1099-4300/26/2/123" TargetMode="External"/><Relationship Id="rId15" Type="http://schemas.openxmlformats.org/officeDocument/2006/relationships/hyperlink" Target="https://ieeexplore.ieee.org/document/10695093" TargetMode="External"/><Relationship Id="rId10" Type="http://schemas.openxmlformats.org/officeDocument/2006/relationships/hyperlink" Target="https://ieeexplore.ieee.org/stamp/stamp.jsp?tp=&amp;arnumber=9620820" TargetMode="External"/><Relationship Id="rId4" Type="http://schemas.openxmlformats.org/officeDocument/2006/relationships/hyperlink" Target="https://opg.optica.org/ol/fulltext.cfm?uri=ol-35-14-2454" TargetMode="External"/><Relationship Id="rId9" Type="http://schemas.openxmlformats.org/officeDocument/2006/relationships/hyperlink" Target="https://ieeexplore.ieee.org/stamp/stamp.jsp?tp=&amp;arnumber=10484768" TargetMode="External"/><Relationship Id="rId14" Type="http://schemas.openxmlformats.org/officeDocument/2006/relationships/hyperlink" Target="https://ieeexplore.ieee.org/stamp/stamp.jsp?tp=&amp;arnumber=1062824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iopscience.iop.org/article/10.1088/1367-2630/11/10/105001/pdf" TargetMode="External"/><Relationship Id="rId13" Type="http://schemas.openxmlformats.org/officeDocument/2006/relationships/hyperlink" Target="https://ieeexplore.ieee.org/stamp/stamp.jsp?tp=&amp;arnumber=9505594" TargetMode="External"/><Relationship Id="rId18" Type="http://schemas.openxmlformats.org/officeDocument/2006/relationships/hyperlink" Target="https://ieeexplore.ieee.org/document/10207321" TargetMode="External"/><Relationship Id="rId3" Type="http://schemas.openxmlformats.org/officeDocument/2006/relationships/hyperlink" Target="https://arxiv.org/pdf/quant-ph/0104103" TargetMode="External"/><Relationship Id="rId7" Type="http://schemas.openxmlformats.org/officeDocument/2006/relationships/hyperlink" Target="https://opg.optica.org/josab/fulltext.cfm?uri=josab-27-6-A185" TargetMode="External"/><Relationship Id="rId12" Type="http://schemas.openxmlformats.org/officeDocument/2006/relationships/hyperlink" Target="https://ieeexplore.ieee.org/stamp/stamp.jsp?tp=&amp;arnumber=9587708" TargetMode="External"/><Relationship Id="rId17" Type="http://schemas.openxmlformats.org/officeDocument/2006/relationships/hyperlink" Target="https://ieeexplore.ieee.org/document/10000815" TargetMode="External"/><Relationship Id="rId2" Type="http://schemas.openxmlformats.org/officeDocument/2006/relationships/hyperlink" Target="https://www.sciencedirect.com/science/article/pii/S0304397514006963" TargetMode="External"/><Relationship Id="rId16" Type="http://schemas.openxmlformats.org/officeDocument/2006/relationships/hyperlink" Target="https://ieeexplore.ieee.org/document/9281884" TargetMode="External"/><Relationship Id="rId1" Type="http://schemas.openxmlformats.org/officeDocument/2006/relationships/hyperlink" Target="https://iopscience.iop.org/article/10.1088/1367-2630/11/7/075001/pdf" TargetMode="External"/><Relationship Id="rId6" Type="http://schemas.openxmlformats.org/officeDocument/2006/relationships/hyperlink" Target="https://arxiv.org/pdf/1103.3566" TargetMode="External"/><Relationship Id="rId11" Type="http://schemas.openxmlformats.org/officeDocument/2006/relationships/hyperlink" Target="https://ieeexplore.ieee.org/abstract/document/11249862" TargetMode="External"/><Relationship Id="rId5" Type="http://schemas.openxmlformats.org/officeDocument/2006/relationships/hyperlink" Target="https://arxiv.org/abs/0802.4155" TargetMode="External"/><Relationship Id="rId15" Type="http://schemas.openxmlformats.org/officeDocument/2006/relationships/hyperlink" Target="https://ieeexplore.ieee.org/document/9919155" TargetMode="External"/><Relationship Id="rId10" Type="http://schemas.openxmlformats.org/officeDocument/2006/relationships/hyperlink" Target="https://ieeexplore.ieee.org/abstract/document/10795138" TargetMode="External"/><Relationship Id="rId19" Type="http://schemas.openxmlformats.org/officeDocument/2006/relationships/hyperlink" Target="https://ieeexplore.ieee.org/stamp/stamp.jsp?tp=&amp;arnumber=11367362" TargetMode="External"/><Relationship Id="rId4" Type="http://schemas.openxmlformats.org/officeDocument/2006/relationships/hyperlink" Target="https://arxiv.org/pdf/1103.2327" TargetMode="External"/><Relationship Id="rId9" Type="http://schemas.openxmlformats.org/officeDocument/2006/relationships/hyperlink" Target="https://dl.acm.org/doi/full/10.1145/3490029" TargetMode="External"/><Relationship Id="rId14" Type="http://schemas.openxmlformats.org/officeDocument/2006/relationships/hyperlink" Target="https://ieeexplore.ieee.org/document/1069509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ieeexplore.ieee.org/abstract/document/6459843" TargetMode="External"/><Relationship Id="rId3" Type="http://schemas.openxmlformats.org/officeDocument/2006/relationships/hyperlink" Target="https://dl.acm.org/doi/pdf/10.1145/3634865.3634872" TargetMode="External"/><Relationship Id="rId7" Type="http://schemas.openxmlformats.org/officeDocument/2006/relationships/hyperlink" Target="https://ieeexplore.ieee.org/stamp/stamp.jsp?tp=&amp;arnumber=8840238&amp;tag=1" TargetMode="External"/><Relationship Id="rId12" Type="http://schemas.openxmlformats.org/officeDocument/2006/relationships/hyperlink" Target="https://ieeexplore.ieee.org/document/10926122" TargetMode="External"/><Relationship Id="rId2" Type="http://schemas.openxmlformats.org/officeDocument/2006/relationships/hyperlink" Target="https://iopscience.iop.org/article/10.1088/1367-2630/11/7/075001/pdf" TargetMode="External"/><Relationship Id="rId1" Type="http://schemas.openxmlformats.org/officeDocument/2006/relationships/hyperlink" Target="https://arxiv.org/pdf/2202.07764" TargetMode="External"/><Relationship Id="rId6" Type="http://schemas.openxmlformats.org/officeDocument/2006/relationships/hyperlink" Target="https://iopscience.iop.org/article/10.1088/1367-2630/11/10/105001/pdf" TargetMode="External"/><Relationship Id="rId11" Type="http://schemas.openxmlformats.org/officeDocument/2006/relationships/hyperlink" Target="https://ieeexplore.ieee.org/stamp/stamp.jsp?tp=&amp;arnumber=9788032" TargetMode="External"/><Relationship Id="rId5" Type="http://schemas.openxmlformats.org/officeDocument/2006/relationships/hyperlink" Target="https://arxiv.org/pdf/1103.3566" TargetMode="External"/><Relationship Id="rId10" Type="http://schemas.openxmlformats.org/officeDocument/2006/relationships/hyperlink" Target="https://ieeexplore.ieee.org/stamp/stamp.jsp?tp=&amp;arnumber=9983749" TargetMode="External"/><Relationship Id="rId4" Type="http://schemas.openxmlformats.org/officeDocument/2006/relationships/hyperlink" Target="https://ieeexplore.ieee.org/document/9489848" TargetMode="External"/><Relationship Id="rId9" Type="http://schemas.openxmlformats.org/officeDocument/2006/relationships/hyperlink" Target="https://ieeexplore.ieee.org/stamp/stamp.jsp?tp=&amp;arnumber=10463909"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38"/>
  <sheetViews>
    <sheetView workbookViewId="0">
      <selection activeCell="A13" sqref="A13"/>
    </sheetView>
  </sheetViews>
  <sheetFormatPr defaultRowHeight="15"/>
  <cols>
    <col min="1" max="1" width="68.85546875" bestFit="1" customWidth="1"/>
    <col min="2" max="2" width="80.42578125" bestFit="1" customWidth="1"/>
    <col min="3" max="3" width="70.28515625" bestFit="1" customWidth="1"/>
    <col min="4" max="4" width="70.28515625" customWidth="1"/>
  </cols>
  <sheetData>
    <row r="3" spans="1:5" s="1" customFormat="1">
      <c r="A3" s="1" t="s">
        <v>0</v>
      </c>
      <c r="B3" s="1" t="s">
        <v>1</v>
      </c>
      <c r="C3" s="1" t="s">
        <v>2</v>
      </c>
      <c r="D3" s="1" t="s">
        <v>3</v>
      </c>
      <c r="E3" s="1" t="s">
        <v>4</v>
      </c>
    </row>
    <row r="4" spans="1:5" ht="43.5">
      <c r="A4" s="6" t="s">
        <v>5</v>
      </c>
      <c r="B4" s="3" t="s">
        <v>6</v>
      </c>
      <c r="E4" s="4" t="b">
        <v>0</v>
      </c>
    </row>
    <row r="5" spans="1:5">
      <c r="B5" s="2"/>
      <c r="E5" s="4" t="b">
        <v>0</v>
      </c>
    </row>
    <row r="6" spans="1:5">
      <c r="B6" s="2"/>
      <c r="E6" s="4" t="b">
        <v>0</v>
      </c>
    </row>
    <row r="7" spans="1:5">
      <c r="B7" s="2"/>
      <c r="E7" s="4" t="b">
        <v>0</v>
      </c>
    </row>
    <row r="8" spans="1:5">
      <c r="B8" s="2"/>
      <c r="E8" s="4" t="b">
        <v>0</v>
      </c>
    </row>
    <row r="9" spans="1:5">
      <c r="B9" s="2"/>
      <c r="E9" s="4" t="b">
        <v>0</v>
      </c>
    </row>
    <row r="10" spans="1:5">
      <c r="B10" s="2"/>
      <c r="E10" s="4" t="b">
        <v>0</v>
      </c>
    </row>
    <row r="11" spans="1:5">
      <c r="B11" s="2"/>
      <c r="E11" s="4" t="b">
        <v>0</v>
      </c>
    </row>
    <row r="12" spans="1:5">
      <c r="E12" s="4" t="b">
        <v>0</v>
      </c>
    </row>
    <row r="13" spans="1:5">
      <c r="E13" s="4" t="b">
        <v>0</v>
      </c>
    </row>
    <row r="14" spans="1:5">
      <c r="B14" s="2"/>
      <c r="E14" s="4" t="b">
        <v>0</v>
      </c>
    </row>
    <row r="15" spans="1:5">
      <c r="B15" s="2"/>
      <c r="E15" s="4" t="b">
        <v>0</v>
      </c>
    </row>
    <row r="16" spans="1:5">
      <c r="B16" s="2"/>
      <c r="E16" s="4" t="b">
        <v>0</v>
      </c>
    </row>
    <row r="17" spans="1:5">
      <c r="B17" s="2"/>
      <c r="E17" s="4" t="b">
        <v>0</v>
      </c>
    </row>
    <row r="18" spans="1:5">
      <c r="B18" s="2"/>
      <c r="E18" s="4" t="b">
        <v>0</v>
      </c>
    </row>
    <row r="19" spans="1:5">
      <c r="B19" s="2"/>
      <c r="E19" s="4" t="b">
        <v>0</v>
      </c>
    </row>
    <row r="20" spans="1:5">
      <c r="B20" s="2"/>
      <c r="E20" s="4" t="b">
        <v>0</v>
      </c>
    </row>
    <row r="21" spans="1:5">
      <c r="B21" s="2"/>
      <c r="E21" s="4" t="b">
        <v>0</v>
      </c>
    </row>
    <row r="22" spans="1:5">
      <c r="E22" s="4" t="b">
        <v>0</v>
      </c>
    </row>
    <row r="23" spans="1:5">
      <c r="A23" s="5"/>
      <c r="B23" s="2"/>
      <c r="E23" s="4" t="b">
        <v>0</v>
      </c>
    </row>
    <row r="24" spans="1:5">
      <c r="E24" s="4" t="b">
        <v>0</v>
      </c>
    </row>
    <row r="25" spans="1:5">
      <c r="E25" s="4" t="b">
        <v>0</v>
      </c>
    </row>
    <row r="26" spans="1:5">
      <c r="E26" s="4" t="b">
        <v>0</v>
      </c>
    </row>
    <row r="27" spans="1:5">
      <c r="E27" s="4" t="b">
        <v>0</v>
      </c>
    </row>
    <row r="28" spans="1:5">
      <c r="E28" s="4" t="b">
        <v>0</v>
      </c>
    </row>
    <row r="29" spans="1:5">
      <c r="E29" s="4" t="b">
        <v>0</v>
      </c>
    </row>
    <row r="30" spans="1:5">
      <c r="E30" s="4" t="b">
        <v>0</v>
      </c>
    </row>
    <row r="31" spans="1:5">
      <c r="E31" s="4" t="b">
        <v>0</v>
      </c>
    </row>
    <row r="32" spans="1:5">
      <c r="E32" s="4" t="b">
        <v>0</v>
      </c>
    </row>
    <row r="33" spans="5:5">
      <c r="E33" s="4" t="b">
        <v>0</v>
      </c>
    </row>
    <row r="34" spans="5:5">
      <c r="E34" s="4" t="b">
        <v>0</v>
      </c>
    </row>
    <row r="35" spans="5:5">
      <c r="E35" s="4" t="b">
        <v>0</v>
      </c>
    </row>
    <row r="36" spans="5:5">
      <c r="E36" s="4" t="b">
        <v>0</v>
      </c>
    </row>
    <row r="37" spans="5:5">
      <c r="E37" s="4" t="b">
        <v>0</v>
      </c>
    </row>
    <row r="38" spans="5:5">
      <c r="E38" s="4" t="b">
        <v>0</v>
      </c>
    </row>
  </sheetData>
  <hyperlinks>
    <hyperlink ref="B4" r:id="rId1" xr:uid="{093A825D-CA43-4AD8-A79D-7B66A6F008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8251-FD98-4271-9A82-252C05F6E917}">
  <dimension ref="A1:C84"/>
  <sheetViews>
    <sheetView workbookViewId="0">
      <selection activeCell="C23" activeCellId="6" sqref="C12 C14 C17 C18 C20 C22 C23"/>
    </sheetView>
  </sheetViews>
  <sheetFormatPr defaultRowHeight="15"/>
  <cols>
    <col min="1" max="1" width="107.5703125" customWidth="1"/>
    <col min="2" max="2" width="89" bestFit="1" customWidth="1"/>
    <col min="3" max="3" width="22.7109375" customWidth="1"/>
  </cols>
  <sheetData>
    <row r="1" spans="1:3">
      <c r="A1" s="7" t="s">
        <v>7</v>
      </c>
      <c r="B1" s="1" t="s">
        <v>8</v>
      </c>
      <c r="C1" s="1" t="s">
        <v>9</v>
      </c>
    </row>
    <row r="2" spans="1:3">
      <c r="A2" s="14" t="s">
        <v>10</v>
      </c>
      <c r="B2" s="2" t="s">
        <v>11</v>
      </c>
      <c r="C2" t="s">
        <v>12</v>
      </c>
    </row>
    <row r="3" spans="1:3">
      <c r="A3" s="14" t="s">
        <v>13</v>
      </c>
      <c r="B3" s="2" t="s">
        <v>14</v>
      </c>
      <c r="C3" t="s">
        <v>12</v>
      </c>
    </row>
    <row r="4" spans="1:3">
      <c r="A4" s="14" t="s">
        <v>15</v>
      </c>
      <c r="B4" s="2" t="s">
        <v>16</v>
      </c>
      <c r="C4" t="s">
        <v>12</v>
      </c>
    </row>
    <row r="5" spans="1:3">
      <c r="A5" s="14" t="s">
        <v>17</v>
      </c>
      <c r="B5" s="2" t="s">
        <v>18</v>
      </c>
      <c r="C5" t="s">
        <v>19</v>
      </c>
    </row>
    <row r="6" spans="1:3">
      <c r="A6" s="14" t="s">
        <v>20</v>
      </c>
      <c r="B6" s="2" t="s">
        <v>21</v>
      </c>
      <c r="C6" t="s">
        <v>22</v>
      </c>
    </row>
    <row r="7" spans="1:3">
      <c r="A7" s="14" t="s">
        <v>23</v>
      </c>
      <c r="B7" s="2" t="s">
        <v>24</v>
      </c>
      <c r="C7" t="s">
        <v>25</v>
      </c>
    </row>
    <row r="8" spans="1:3">
      <c r="A8" s="13" t="s">
        <v>26</v>
      </c>
      <c r="B8" s="2" t="s">
        <v>27</v>
      </c>
      <c r="C8" t="s">
        <v>28</v>
      </c>
    </row>
    <row r="9" spans="1:3">
      <c r="A9" s="13" t="s">
        <v>29</v>
      </c>
      <c r="B9" s="2" t="s">
        <v>30</v>
      </c>
      <c r="C9" t="s">
        <v>31</v>
      </c>
    </row>
    <row r="10" spans="1:3">
      <c r="A10" s="11" t="s">
        <v>32</v>
      </c>
      <c r="B10" s="2" t="s">
        <v>33</v>
      </c>
      <c r="C10" t="s">
        <v>34</v>
      </c>
    </row>
    <row r="11" spans="1:3">
      <c r="A11" s="13" t="s">
        <v>35</v>
      </c>
      <c r="B11" s="2" t="s">
        <v>36</v>
      </c>
      <c r="C11" t="s">
        <v>37</v>
      </c>
    </row>
    <row r="12" spans="1:3">
      <c r="A12" s="15" t="s">
        <v>38</v>
      </c>
      <c r="B12" s="2" t="s">
        <v>39</v>
      </c>
      <c r="C12" t="s">
        <v>40</v>
      </c>
    </row>
    <row r="13" spans="1:3">
      <c r="A13" s="13" t="s">
        <v>41</v>
      </c>
      <c r="B13" s="2" t="s">
        <v>42</v>
      </c>
      <c r="C13" t="s">
        <v>43</v>
      </c>
    </row>
    <row r="14" spans="1:3">
      <c r="A14" s="15" t="s">
        <v>44</v>
      </c>
      <c r="B14" s="2" t="s">
        <v>45</v>
      </c>
      <c r="C14" t="s">
        <v>46</v>
      </c>
    </row>
    <row r="15" spans="1:3">
      <c r="A15" s="13" t="s">
        <v>47</v>
      </c>
      <c r="B15" s="2" t="s">
        <v>48</v>
      </c>
      <c r="C15" t="s">
        <v>49</v>
      </c>
    </row>
    <row r="16" spans="1:3">
      <c r="A16" s="13" t="s">
        <v>50</v>
      </c>
      <c r="B16" s="2" t="s">
        <v>51</v>
      </c>
      <c r="C16" t="s">
        <v>43</v>
      </c>
    </row>
    <row r="17" spans="1:3">
      <c r="A17" s="15" t="s">
        <v>52</v>
      </c>
      <c r="B17" s="2" t="s">
        <v>53</v>
      </c>
      <c r="C17" t="s">
        <v>54</v>
      </c>
    </row>
    <row r="18" spans="1:3">
      <c r="A18" s="15" t="s">
        <v>55</v>
      </c>
      <c r="B18" s="2" t="s">
        <v>56</v>
      </c>
      <c r="C18" t="s">
        <v>43</v>
      </c>
    </row>
    <row r="19" spans="1:3">
      <c r="A19" s="13" t="s">
        <v>57</v>
      </c>
      <c r="B19" s="2" t="s">
        <v>58</v>
      </c>
      <c r="C19" t="s">
        <v>54</v>
      </c>
    </row>
    <row r="20" spans="1:3">
      <c r="A20" s="15" t="s">
        <v>59</v>
      </c>
      <c r="B20" s="2" t="s">
        <v>60</v>
      </c>
      <c r="C20" t="s">
        <v>61</v>
      </c>
    </row>
    <row r="21" spans="1:3">
      <c r="A21" s="13" t="s">
        <v>62</v>
      </c>
      <c r="B21" s="2" t="s">
        <v>63</v>
      </c>
      <c r="C21" t="s">
        <v>64</v>
      </c>
    </row>
    <row r="22" spans="1:3">
      <c r="A22" s="15" t="s">
        <v>65</v>
      </c>
      <c r="B22" s="2" t="s">
        <v>66</v>
      </c>
      <c r="C22" t="s">
        <v>67</v>
      </c>
    </row>
    <row r="23" spans="1:3">
      <c r="A23" s="15" t="s">
        <v>68</v>
      </c>
      <c r="B23" s="2" t="s">
        <v>69</v>
      </c>
      <c r="C23" t="s">
        <v>43</v>
      </c>
    </row>
    <row r="24" spans="1:3">
      <c r="A24" s="13" t="s">
        <v>70</v>
      </c>
      <c r="B24" s="2" t="s">
        <v>71</v>
      </c>
      <c r="C24" t="s">
        <v>72</v>
      </c>
    </row>
    <row r="25" spans="1:3">
      <c r="A25" s="13" t="s">
        <v>73</v>
      </c>
      <c r="B25" s="2" t="s">
        <v>74</v>
      </c>
      <c r="C25" t="s">
        <v>67</v>
      </c>
    </row>
    <row r="26" spans="1:3">
      <c r="A26" s="13" t="s">
        <v>75</v>
      </c>
      <c r="B26" s="3" t="s">
        <v>76</v>
      </c>
      <c r="C26" t="s">
        <v>43</v>
      </c>
    </row>
    <row r="27" spans="1:3">
      <c r="A27" s="13" t="s">
        <v>77</v>
      </c>
      <c r="B27" s="2" t="s">
        <v>78</v>
      </c>
      <c r="C27" t="s">
        <v>79</v>
      </c>
    </row>
    <row r="28" spans="1:3">
      <c r="A28" s="13" t="s">
        <v>80</v>
      </c>
      <c r="B28" s="2" t="s">
        <v>81</v>
      </c>
      <c r="C28" t="s">
        <v>82</v>
      </c>
    </row>
    <row r="29" spans="1:3">
      <c r="A29" s="13" t="s">
        <v>83</v>
      </c>
      <c r="B29" s="2" t="s">
        <v>84</v>
      </c>
      <c r="C29" t="s">
        <v>43</v>
      </c>
    </row>
    <row r="30" spans="1:3">
      <c r="A30" s="13" t="s">
        <v>85</v>
      </c>
      <c r="B30" s="2" t="s">
        <v>86</v>
      </c>
      <c r="C30" t="s">
        <v>87</v>
      </c>
    </row>
    <row r="31" spans="1:3">
      <c r="A31" s="11" t="s">
        <v>88</v>
      </c>
      <c r="B31" s="2" t="s">
        <v>89</v>
      </c>
      <c r="C31" t="s">
        <v>90</v>
      </c>
    </row>
    <row r="32" spans="1:3">
      <c r="A32" s="13" t="s">
        <v>91</v>
      </c>
      <c r="B32" s="2" t="s">
        <v>92</v>
      </c>
      <c r="C32" t="s">
        <v>43</v>
      </c>
    </row>
    <row r="33" spans="1:3">
      <c r="A33" s="11" t="s">
        <v>93</v>
      </c>
      <c r="B33" s="2" t="s">
        <v>94</v>
      </c>
      <c r="C33" t="s">
        <v>95</v>
      </c>
    </row>
    <row r="34" spans="1:3">
      <c r="A34" s="13" t="s">
        <v>96</v>
      </c>
      <c r="B34" s="2" t="s">
        <v>97</v>
      </c>
      <c r="C34" t="s">
        <v>19</v>
      </c>
    </row>
    <row r="35" spans="1:3">
      <c r="A35" s="13" t="s">
        <v>98</v>
      </c>
      <c r="B35" s="2" t="s">
        <v>99</v>
      </c>
      <c r="C35" t="s">
        <v>12</v>
      </c>
    </row>
    <row r="36" spans="1:3">
      <c r="A36" s="13" t="s">
        <v>100</v>
      </c>
      <c r="B36" s="2" t="s">
        <v>101</v>
      </c>
      <c r="C36" t="s">
        <v>102</v>
      </c>
    </row>
    <row r="37" spans="1:3">
      <c r="A37" s="11" t="s">
        <v>103</v>
      </c>
      <c r="B37" s="2" t="s">
        <v>104</v>
      </c>
      <c r="C37" t="s">
        <v>105</v>
      </c>
    </row>
    <row r="38" spans="1:3">
      <c r="A38" s="13" t="s">
        <v>106</v>
      </c>
      <c r="C38" t="s">
        <v>12</v>
      </c>
    </row>
    <row r="39" spans="1:3">
      <c r="A39" s="11" t="s">
        <v>107</v>
      </c>
      <c r="B39" s="2" t="s">
        <v>108</v>
      </c>
      <c r="C39" t="s">
        <v>109</v>
      </c>
    </row>
    <row r="40" spans="1:3">
      <c r="A40" s="11" t="s">
        <v>110</v>
      </c>
      <c r="B40" s="2" t="s">
        <v>111</v>
      </c>
      <c r="C40" t="s">
        <v>112</v>
      </c>
    </row>
    <row r="41" spans="1:3">
      <c r="A41" s="13" t="s">
        <v>113</v>
      </c>
      <c r="B41" s="2" t="s">
        <v>114</v>
      </c>
      <c r="C41" t="s">
        <v>43</v>
      </c>
    </row>
    <row r="42" spans="1:3">
      <c r="A42" s="12" t="s">
        <v>115</v>
      </c>
      <c r="B42" s="2" t="s">
        <v>116</v>
      </c>
      <c r="C42" t="s">
        <v>117</v>
      </c>
    </row>
    <row r="43" spans="1:3">
      <c r="A43" s="12" t="s">
        <v>118</v>
      </c>
      <c r="B43" s="2" t="s">
        <v>119</v>
      </c>
      <c r="C43" t="s">
        <v>43</v>
      </c>
    </row>
    <row r="44" spans="1:3">
      <c r="A44" s="12" t="s">
        <v>120</v>
      </c>
      <c r="B44" s="2" t="s">
        <v>121</v>
      </c>
      <c r="C44" t="s">
        <v>82</v>
      </c>
    </row>
    <row r="45" spans="1:3">
      <c r="A45" s="12" t="s">
        <v>122</v>
      </c>
      <c r="B45" s="2" t="s">
        <v>123</v>
      </c>
      <c r="C45" t="s">
        <v>124</v>
      </c>
    </row>
    <row r="46" spans="1:3">
      <c r="A46" s="11" t="s">
        <v>125</v>
      </c>
      <c r="B46" s="2" t="s">
        <v>126</v>
      </c>
      <c r="C46" t="s">
        <v>124</v>
      </c>
    </row>
    <row r="47" spans="1:3">
      <c r="A47" s="11" t="s">
        <v>127</v>
      </c>
      <c r="B47" s="2" t="s">
        <v>128</v>
      </c>
      <c r="C47" t="s">
        <v>87</v>
      </c>
    </row>
    <row r="48" spans="1:3">
      <c r="A48" s="11" t="s">
        <v>129</v>
      </c>
      <c r="B48" s="2" t="s">
        <v>130</v>
      </c>
      <c r="C48" t="s">
        <v>43</v>
      </c>
    </row>
    <row r="49" spans="1:3">
      <c r="A49" s="11" t="s">
        <v>131</v>
      </c>
      <c r="B49" s="2" t="s">
        <v>132</v>
      </c>
      <c r="C49" t="s">
        <v>133</v>
      </c>
    </row>
    <row r="50" spans="1:3">
      <c r="A50" s="11" t="s">
        <v>134</v>
      </c>
      <c r="B50" s="2" t="s">
        <v>135</v>
      </c>
      <c r="C50" t="s">
        <v>117</v>
      </c>
    </row>
    <row r="51" spans="1:3">
      <c r="A51" s="11" t="s">
        <v>136</v>
      </c>
      <c r="B51" s="2" t="s">
        <v>137</v>
      </c>
      <c r="C51" t="s">
        <v>138</v>
      </c>
    </row>
    <row r="52" spans="1:3">
      <c r="A52" s="11" t="s">
        <v>139</v>
      </c>
      <c r="B52" s="2" t="s">
        <v>140</v>
      </c>
      <c r="C52" t="s">
        <v>43</v>
      </c>
    </row>
    <row r="53" spans="1:3">
      <c r="A53" s="11" t="s">
        <v>141</v>
      </c>
      <c r="B53" s="2" t="s">
        <v>142</v>
      </c>
      <c r="C53" t="s">
        <v>143</v>
      </c>
    </row>
    <row r="54" spans="1:3">
      <c r="A54" s="11" t="s">
        <v>144</v>
      </c>
      <c r="B54" s="2" t="s">
        <v>145</v>
      </c>
      <c r="C54" t="s">
        <v>146</v>
      </c>
    </row>
    <row r="55" spans="1:3">
      <c r="A55" s="11" t="s">
        <v>147</v>
      </c>
      <c r="B55" s="2" t="s">
        <v>148</v>
      </c>
      <c r="C55" t="s">
        <v>149</v>
      </c>
    </row>
    <row r="56" spans="1:3">
      <c r="A56" s="11" t="s">
        <v>150</v>
      </c>
      <c r="B56" s="2" t="s">
        <v>151</v>
      </c>
      <c r="C56" t="s">
        <v>124</v>
      </c>
    </row>
    <row r="57" spans="1:3">
      <c r="A57" s="11" t="s">
        <v>152</v>
      </c>
      <c r="B57" s="2" t="s">
        <v>153</v>
      </c>
      <c r="C57" t="s">
        <v>154</v>
      </c>
    </row>
    <row r="58" spans="1:3">
      <c r="A58" s="11" t="s">
        <v>155</v>
      </c>
      <c r="B58" s="2" t="s">
        <v>156</v>
      </c>
      <c r="C58" t="s">
        <v>146</v>
      </c>
    </row>
    <row r="59" spans="1:3">
      <c r="A59" s="11" t="s">
        <v>157</v>
      </c>
      <c r="B59" s="2" t="s">
        <v>158</v>
      </c>
      <c r="C59" t="s">
        <v>159</v>
      </c>
    </row>
    <row r="60" spans="1:3">
      <c r="A60" s="11" t="s">
        <v>160</v>
      </c>
      <c r="B60" s="2" t="s">
        <v>161</v>
      </c>
      <c r="C60" t="s">
        <v>159</v>
      </c>
    </row>
    <row r="61" spans="1:3">
      <c r="A61" s="11" t="s">
        <v>162</v>
      </c>
      <c r="B61" s="2" t="s">
        <v>163</v>
      </c>
      <c r="C61" t="s">
        <v>87</v>
      </c>
    </row>
    <row r="62" spans="1:3">
      <c r="A62" s="11" t="s">
        <v>164</v>
      </c>
      <c r="B62" s="2" t="s">
        <v>165</v>
      </c>
      <c r="C62" t="s">
        <v>159</v>
      </c>
    </row>
    <row r="63" spans="1:3">
      <c r="A63" s="11" t="s">
        <v>166</v>
      </c>
      <c r="B63" s="2" t="s">
        <v>167</v>
      </c>
      <c r="C63" t="s">
        <v>168</v>
      </c>
    </row>
    <row r="64" spans="1:3">
      <c r="A64" s="11" t="s">
        <v>169</v>
      </c>
      <c r="B64" s="2" t="s">
        <v>170</v>
      </c>
      <c r="C64" t="s">
        <v>171</v>
      </c>
    </row>
    <row r="65" spans="1:3">
      <c r="A65" s="11" t="s">
        <v>172</v>
      </c>
      <c r="B65" s="2" t="s">
        <v>173</v>
      </c>
      <c r="C65" t="s">
        <v>87</v>
      </c>
    </row>
    <row r="66" spans="1:3">
      <c r="A66" s="11" t="s">
        <v>174</v>
      </c>
      <c r="B66" s="2" t="s">
        <v>175</v>
      </c>
      <c r="C66" t="s">
        <v>138</v>
      </c>
    </row>
    <row r="67" spans="1:3">
      <c r="A67" s="11" t="s">
        <v>176</v>
      </c>
      <c r="B67" s="2" t="s">
        <v>177</v>
      </c>
      <c r="C67" t="s">
        <v>178</v>
      </c>
    </row>
    <row r="68" spans="1:3">
      <c r="A68" s="11" t="s">
        <v>179</v>
      </c>
      <c r="B68" s="2" t="s">
        <v>180</v>
      </c>
      <c r="C68" t="s">
        <v>181</v>
      </c>
    </row>
    <row r="69" spans="1:3">
      <c r="A69" s="11" t="s">
        <v>182</v>
      </c>
      <c r="B69" s="2" t="s">
        <v>183</v>
      </c>
      <c r="C69" t="s">
        <v>184</v>
      </c>
    </row>
    <row r="70" spans="1:3">
      <c r="A70" s="11" t="s">
        <v>185</v>
      </c>
      <c r="B70" s="2" t="s">
        <v>186</v>
      </c>
      <c r="C70" t="s">
        <v>187</v>
      </c>
    </row>
    <row r="71" spans="1:3">
      <c r="A71" s="11" t="s">
        <v>188</v>
      </c>
      <c r="B71" s="2" t="s">
        <v>189</v>
      </c>
      <c r="C71" t="s">
        <v>190</v>
      </c>
    </row>
    <row r="72" spans="1:3">
      <c r="A72" s="11" t="s">
        <v>191</v>
      </c>
      <c r="B72" s="2" t="s">
        <v>192</v>
      </c>
      <c r="C72" t="s">
        <v>193</v>
      </c>
    </row>
    <row r="73" spans="1:3">
      <c r="A73" s="11" t="s">
        <v>194</v>
      </c>
      <c r="B73" s="2" t="s">
        <v>195</v>
      </c>
      <c r="C73" t="s">
        <v>196</v>
      </c>
    </row>
    <row r="74" spans="1:3">
      <c r="A74" s="11" t="s">
        <v>197</v>
      </c>
      <c r="B74" s="2" t="s">
        <v>198</v>
      </c>
      <c r="C74" t="s">
        <v>199</v>
      </c>
    </row>
    <row r="75" spans="1:3">
      <c r="A75" s="11" t="s">
        <v>200</v>
      </c>
      <c r="B75" s="2" t="s">
        <v>201</v>
      </c>
      <c r="C75" t="s">
        <v>112</v>
      </c>
    </row>
    <row r="76" spans="1:3">
      <c r="A76" s="11" t="s">
        <v>202</v>
      </c>
      <c r="B76" s="2" t="s">
        <v>203</v>
      </c>
      <c r="C76" t="s">
        <v>105</v>
      </c>
    </row>
    <row r="78" spans="1:3">
      <c r="A78" s="1" t="s">
        <v>204</v>
      </c>
    </row>
    <row r="79" spans="1:3">
      <c r="A79" t="s">
        <v>205</v>
      </c>
      <c r="B79" s="2" t="s">
        <v>206</v>
      </c>
      <c r="C79" t="s">
        <v>159</v>
      </c>
    </row>
    <row r="80" spans="1:3">
      <c r="A80" t="s">
        <v>207</v>
      </c>
      <c r="B80" s="2" t="s">
        <v>208</v>
      </c>
      <c r="C80" t="s">
        <v>209</v>
      </c>
    </row>
    <row r="81" spans="1:3">
      <c r="A81" t="s">
        <v>210</v>
      </c>
      <c r="B81" s="2" t="s">
        <v>211</v>
      </c>
      <c r="C81" t="s">
        <v>212</v>
      </c>
    </row>
    <row r="82" spans="1:3">
      <c r="A82" t="s">
        <v>213</v>
      </c>
      <c r="B82" s="2" t="s">
        <v>214</v>
      </c>
      <c r="C82" t="s">
        <v>215</v>
      </c>
    </row>
    <row r="83" spans="1:3">
      <c r="A83" t="s">
        <v>216</v>
      </c>
      <c r="B83" s="2" t="s">
        <v>217</v>
      </c>
      <c r="C83" t="s">
        <v>112</v>
      </c>
    </row>
    <row r="84" spans="1:3">
      <c r="A84" t="s">
        <v>218</v>
      </c>
      <c r="B84" s="2" t="s">
        <v>219</v>
      </c>
      <c r="C84" t="s">
        <v>220</v>
      </c>
    </row>
  </sheetData>
  <hyperlinks>
    <hyperlink ref="B2" r:id="rId1" xr:uid="{BBA0CA65-F51A-4FAD-A144-F59DFF9B2FCD}"/>
    <hyperlink ref="B3" r:id="rId2" xr:uid="{F191F631-E5BC-45E3-9A21-2E3A39C6D77B}"/>
    <hyperlink ref="B4" r:id="rId3" xr:uid="{E245D821-03A2-4746-AB6F-8164EE72DFF3}"/>
    <hyperlink ref="B5" r:id="rId4" xr:uid="{4D001B0C-0A06-4A2E-BFB0-F3028B1A9B10}"/>
    <hyperlink ref="B6" r:id="rId5" xr:uid="{C1287126-5907-43FF-9107-903DD994F127}"/>
    <hyperlink ref="B7" r:id="rId6" xr:uid="{65854593-B77E-4A85-B131-B40872761990}"/>
    <hyperlink ref="B8" r:id="rId7" xr:uid="{94FAF268-EC05-4000-AD99-AD8558EF5F5F}"/>
    <hyperlink ref="B9" r:id="rId8" xr:uid="{FBE617B3-1CCB-4D79-AC7E-442A88222270}"/>
    <hyperlink ref="B10" r:id="rId9" xr:uid="{662354B0-7A78-45A6-AE31-92D18C368F6F}"/>
    <hyperlink ref="B11" r:id="rId10" xr:uid="{F632626F-8CF7-4DE4-9B6A-C49B0C786CF5}"/>
    <hyperlink ref="B12" r:id="rId11" xr:uid="{70A544E3-A6ED-44A7-8028-6A6B1A82A9B8}"/>
    <hyperlink ref="B13" r:id="rId12" xr:uid="{E1EB759A-45BA-4395-BFAF-B0E02A1AED12}"/>
    <hyperlink ref="B14" r:id="rId13" xr:uid="{9C30C825-C74C-4933-9F33-90D125C94A78}"/>
    <hyperlink ref="B15" r:id="rId14" xr:uid="{D739E3A8-E908-4DE2-AFD0-F06CE5374714}"/>
    <hyperlink ref="B16" r:id="rId15" xr:uid="{92141EC3-568C-4C01-9120-18CA87C60832}"/>
    <hyperlink ref="B17" r:id="rId16" xr:uid="{9837454F-217D-48C9-BB4B-64C68F8BD954}"/>
    <hyperlink ref="B18" r:id="rId17" xr:uid="{DF719DD6-012B-469E-9A19-9CC5960DA46E}"/>
    <hyperlink ref="B19" r:id="rId18" xr:uid="{F5E1DDBB-7BC7-4195-B3A3-251FFCDE7A8E}"/>
    <hyperlink ref="B20" r:id="rId19" xr:uid="{779EF102-A252-4F1B-A5E8-B5D406B9B24E}"/>
    <hyperlink ref="B21" r:id="rId20" xr:uid="{9CE0CFE1-8758-475B-99C4-54056C62CDF5}"/>
    <hyperlink ref="B22" r:id="rId21" xr:uid="{12BDD554-4E25-4C4E-BA06-F8F475B20CC6}"/>
    <hyperlink ref="B23" r:id="rId22" xr:uid="{81F09815-9CD5-4095-A4F6-C0B84F184146}"/>
    <hyperlink ref="B24" r:id="rId23" xr:uid="{2229FFEE-C23D-4C6F-9610-D69CA0EBBD88}"/>
    <hyperlink ref="B25" r:id="rId24" xr:uid="{AB9D8857-C3FE-498B-8F3A-02A91A2CE29A}"/>
    <hyperlink ref="B26" r:id="rId25" xr:uid="{040ADE2C-DCAF-4ABB-A443-F2BBD3DC267C}"/>
    <hyperlink ref="B27" r:id="rId26" xr:uid="{F00D1908-37E1-4898-8FAA-85CDE9E0220A}"/>
    <hyperlink ref="B28" r:id="rId27" xr:uid="{FAB6BB66-623F-4E8F-B2B2-10E15E3371C7}"/>
    <hyperlink ref="B29" r:id="rId28" xr:uid="{29D5CF66-4D74-4175-A83E-9EB9C6737D06}"/>
    <hyperlink ref="B30" r:id="rId29" xr:uid="{577F3FD1-A0BF-4394-BB24-C0E530589B3D}"/>
    <hyperlink ref="B31" r:id="rId30" xr:uid="{BE24110F-AE3D-43AB-ACF3-6E0FA054A179}"/>
    <hyperlink ref="B32" r:id="rId31" xr:uid="{BFBB0621-D70B-4346-8EA1-F267B587247E}"/>
    <hyperlink ref="B33" r:id="rId32" xr:uid="{EE92D28B-4F70-48DA-9A01-9FFFEC30EA46}"/>
    <hyperlink ref="B34" r:id="rId33" xr:uid="{298B66DF-2C4A-4F3F-9797-78ED5D850EA3}"/>
    <hyperlink ref="B35" r:id="rId34" xr:uid="{D222BC6A-78B7-478B-A58F-83EECED97EF4}"/>
    <hyperlink ref="B36" r:id="rId35" xr:uid="{A886E274-3E26-4724-9408-6738BC1CB74A}"/>
    <hyperlink ref="B37" r:id="rId36" xr:uid="{0225EAAE-6F33-4E5E-82D7-C51F5B95E2BF}"/>
    <hyperlink ref="B39" r:id="rId37" xr:uid="{EB74AED5-BE55-4B3C-98C0-FB69EC40F323}"/>
    <hyperlink ref="B40" r:id="rId38" xr:uid="{6C667722-32F9-445B-8325-09BF8464BFC5}"/>
    <hyperlink ref="B41" r:id="rId39" xr:uid="{3B696AC3-9838-4EF9-A502-AEEBC50BBB0B}"/>
    <hyperlink ref="B42" r:id="rId40" xr:uid="{B5D6B582-CA75-4E7F-8992-855EB675B2C0}"/>
    <hyperlink ref="B44" r:id="rId41" xr:uid="{E1108369-417B-461F-9702-C83C31B10FFC}"/>
    <hyperlink ref="B45" r:id="rId42" xr:uid="{ACB4988A-85DB-4F1B-A7BD-B7210990E548}"/>
    <hyperlink ref="B46" r:id="rId43" xr:uid="{C8F81EBC-A203-45AD-A245-A8DD3F76F868}"/>
    <hyperlink ref="B47" r:id="rId44" xr:uid="{0C982C0D-AA5A-461F-9F90-B0BE4A1F1DFF}"/>
    <hyperlink ref="B48" r:id="rId45" xr:uid="{32AE5A56-B332-4371-9E8B-94C58076FC18}"/>
    <hyperlink ref="B49" r:id="rId46" xr:uid="{072E4B27-76BD-49C2-AC83-BAA397E9075C}"/>
    <hyperlink ref="B50" r:id="rId47" xr:uid="{79FDAE63-95C9-410D-9A48-C27FBECAF95A}"/>
    <hyperlink ref="B51" r:id="rId48" xr:uid="{FB71DA09-99B2-484C-AAC4-E70DF449D8C3}"/>
    <hyperlink ref="B52" r:id="rId49" xr:uid="{E017C2F3-B412-4E77-BED1-06E9798CB173}"/>
    <hyperlink ref="B53" r:id="rId50" xr:uid="{E21BD28D-072A-4812-8721-A3CA751395DC}"/>
    <hyperlink ref="B54" r:id="rId51" xr:uid="{4F58922D-F5E7-48BC-B906-0640B25BCEA2}"/>
    <hyperlink ref="B55" r:id="rId52" xr:uid="{61DBAF3A-A739-4547-B7BF-22E1BD35A4FE}"/>
    <hyperlink ref="B56" r:id="rId53" xr:uid="{5DAA98F9-8C2D-4D22-8AEE-7FB7180104E4}"/>
    <hyperlink ref="B57" r:id="rId54" xr:uid="{BFE1886A-6427-47FC-BECC-E4460AE16B2D}"/>
    <hyperlink ref="B58" r:id="rId55" xr:uid="{F790A88C-073E-485B-B82F-0E4AFE681053}"/>
    <hyperlink ref="B59" r:id="rId56" xr:uid="{8A0FCDBF-3059-4C74-8CFA-BBCAE0902B5E}"/>
    <hyperlink ref="B60" r:id="rId57" xr:uid="{E404CAF9-0CC2-406C-ADC8-63E52004942A}"/>
    <hyperlink ref="B61" r:id="rId58" xr:uid="{A7AB0C3C-E60C-4337-B865-D36CCFE2993D}"/>
    <hyperlink ref="B62" r:id="rId59" xr:uid="{40120F37-DE71-4F89-B06D-325FD9048C4A}"/>
    <hyperlink ref="B63" r:id="rId60" xr:uid="{4F2AD4A7-F7EE-45A0-959C-CB8144A62E44}"/>
    <hyperlink ref="B64" r:id="rId61" xr:uid="{56445391-2DB8-4160-B477-332BB41D7257}"/>
    <hyperlink ref="B65" r:id="rId62" xr:uid="{0E341C4D-7DE6-4546-9AF5-546EC0C604D4}"/>
    <hyperlink ref="B66" r:id="rId63" xr:uid="{FCF6E430-02B5-4F32-8BBA-8F2BDD06AE13}"/>
    <hyperlink ref="B67" r:id="rId64" xr:uid="{CB656121-DC7A-4E1D-A482-898B0A561E00}"/>
    <hyperlink ref="B68" r:id="rId65" xr:uid="{2CD5FEA3-3A3E-4C79-96D8-4BB606D124DF}"/>
    <hyperlink ref="B69" r:id="rId66" xr:uid="{07793B9D-F46A-4F8B-AB70-7BDB4712590F}"/>
    <hyperlink ref="B70" r:id="rId67" xr:uid="{FC0ED91C-44A2-4F4E-89FD-26C8DC7BD43B}"/>
    <hyperlink ref="B71" r:id="rId68" xr:uid="{B45EE691-6FF8-4B53-9245-B66FEB45D079}"/>
    <hyperlink ref="B72" r:id="rId69" xr:uid="{A98D931C-870F-4C1B-9F7E-E4A05DEA9DF4}"/>
    <hyperlink ref="B73" r:id="rId70" xr:uid="{EF245AA1-F819-4866-A554-22A07C699A01}"/>
    <hyperlink ref="B74" r:id="rId71" xr:uid="{52CBC6D8-E38C-4140-BC45-C154F7014F57}"/>
    <hyperlink ref="B75" r:id="rId72" xr:uid="{1EE8555F-42E2-420A-867F-6FD3D35B3CCE}"/>
    <hyperlink ref="B76" r:id="rId73" xr:uid="{3E4902FB-0BC1-4500-B3C4-7D65F7E48A46}"/>
    <hyperlink ref="B43" r:id="rId74" xr:uid="{C55B1E95-8482-4F70-B011-DE3CC70936E0}"/>
    <hyperlink ref="B79" r:id="rId75" xr:uid="{040EBE5A-45E7-426B-B04E-9BD2FBAA0638}"/>
    <hyperlink ref="B80" r:id="rId76" xr:uid="{2E4B8010-E5F4-449C-B2B2-7EBF23210374}"/>
    <hyperlink ref="B81" r:id="rId77" xr:uid="{36A6EDC2-FA19-4D88-8BE0-72E3A330110C}"/>
    <hyperlink ref="B82" r:id="rId78" xr:uid="{A3E0E0F1-D0B9-4ECB-84F6-779FF75B7009}"/>
    <hyperlink ref="B83" r:id="rId79" xr:uid="{EFC75DEF-D147-47D1-B427-39D80B902C69}"/>
    <hyperlink ref="B84" r:id="rId80" xr:uid="{8F36EB96-36F5-434E-B392-C199A199DA5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B2F6-1511-4019-A241-7CB9C905867C}">
  <sheetPr>
    <pageSetUpPr fitToPage="1"/>
  </sheetPr>
  <dimension ref="B1:C94"/>
  <sheetViews>
    <sheetView tabSelected="1" workbookViewId="0">
      <selection activeCell="B49" sqref="B49"/>
    </sheetView>
  </sheetViews>
  <sheetFormatPr defaultRowHeight="15"/>
  <cols>
    <col min="2" max="2" width="107.140625" customWidth="1"/>
    <col min="3" max="3" width="119.85546875" customWidth="1"/>
  </cols>
  <sheetData>
    <row r="1" spans="2:3">
      <c r="C1" s="7"/>
    </row>
    <row r="2" spans="2:3">
      <c r="B2" s="1" t="s">
        <v>221</v>
      </c>
      <c r="C2" s="17" t="s">
        <v>222</v>
      </c>
    </row>
    <row r="3" spans="2:3">
      <c r="B3" s="14" t="s">
        <v>10</v>
      </c>
      <c r="C3" t="s">
        <v>12</v>
      </c>
    </row>
    <row r="4" spans="2:3">
      <c r="B4" s="14" t="s">
        <v>13</v>
      </c>
      <c r="C4" t="s">
        <v>12</v>
      </c>
    </row>
    <row r="5" spans="2:3">
      <c r="B5" s="14" t="s">
        <v>15</v>
      </c>
      <c r="C5" t="s">
        <v>12</v>
      </c>
    </row>
    <row r="6" spans="2:3">
      <c r="B6" s="14" t="s">
        <v>17</v>
      </c>
      <c r="C6" t="s">
        <v>19</v>
      </c>
    </row>
    <row r="7" spans="2:3">
      <c r="B7" s="14" t="s">
        <v>20</v>
      </c>
      <c r="C7" t="s">
        <v>22</v>
      </c>
    </row>
    <row r="8" spans="2:3">
      <c r="B8" s="14" t="s">
        <v>23</v>
      </c>
      <c r="C8" t="s">
        <v>25</v>
      </c>
    </row>
    <row r="10" spans="2:3">
      <c r="B10" s="1" t="s">
        <v>223</v>
      </c>
    </row>
    <row r="11" spans="2:3">
      <c r="B11" s="11" t="s">
        <v>32</v>
      </c>
      <c r="C11" t="s">
        <v>34</v>
      </c>
    </row>
    <row r="12" spans="2:3">
      <c r="B12" s="11" t="s">
        <v>88</v>
      </c>
      <c r="C12" t="s">
        <v>90</v>
      </c>
    </row>
    <row r="13" spans="2:3">
      <c r="B13" s="11" t="s">
        <v>93</v>
      </c>
      <c r="C13" t="s">
        <v>95</v>
      </c>
    </row>
    <row r="14" spans="2:3">
      <c r="B14" s="11" t="s">
        <v>103</v>
      </c>
      <c r="C14" t="s">
        <v>105</v>
      </c>
    </row>
    <row r="15" spans="2:3">
      <c r="B15" s="11" t="s">
        <v>107</v>
      </c>
      <c r="C15" t="s">
        <v>109</v>
      </c>
    </row>
    <row r="16" spans="2:3">
      <c r="B16" s="11" t="s">
        <v>110</v>
      </c>
      <c r="C16" t="s">
        <v>112</v>
      </c>
    </row>
    <row r="17" spans="2:3">
      <c r="B17" s="11" t="s">
        <v>125</v>
      </c>
      <c r="C17" t="s">
        <v>124</v>
      </c>
    </row>
    <row r="18" spans="2:3">
      <c r="B18" s="11" t="s">
        <v>127</v>
      </c>
      <c r="C18" t="s">
        <v>87</v>
      </c>
    </row>
    <row r="19" spans="2:3">
      <c r="B19" s="11" t="s">
        <v>129</v>
      </c>
      <c r="C19" t="s">
        <v>43</v>
      </c>
    </row>
    <row r="20" spans="2:3">
      <c r="B20" s="11" t="s">
        <v>131</v>
      </c>
      <c r="C20" t="s">
        <v>133</v>
      </c>
    </row>
    <row r="21" spans="2:3">
      <c r="B21" s="11" t="s">
        <v>134</v>
      </c>
      <c r="C21" t="s">
        <v>117</v>
      </c>
    </row>
    <row r="22" spans="2:3">
      <c r="B22" s="11" t="s">
        <v>136</v>
      </c>
      <c r="C22" t="s">
        <v>138</v>
      </c>
    </row>
    <row r="23" spans="2:3">
      <c r="B23" s="11" t="s">
        <v>139</v>
      </c>
      <c r="C23" t="s">
        <v>43</v>
      </c>
    </row>
    <row r="24" spans="2:3">
      <c r="B24" s="11" t="s">
        <v>141</v>
      </c>
      <c r="C24" t="s">
        <v>143</v>
      </c>
    </row>
    <row r="25" spans="2:3">
      <c r="B25" s="11" t="s">
        <v>144</v>
      </c>
      <c r="C25" t="s">
        <v>146</v>
      </c>
    </row>
    <row r="26" spans="2:3">
      <c r="B26" s="11" t="s">
        <v>147</v>
      </c>
      <c r="C26" t="s">
        <v>149</v>
      </c>
    </row>
    <row r="27" spans="2:3">
      <c r="B27" s="11" t="s">
        <v>150</v>
      </c>
      <c r="C27" t="s">
        <v>124</v>
      </c>
    </row>
    <row r="28" spans="2:3">
      <c r="B28" s="11" t="s">
        <v>152</v>
      </c>
      <c r="C28" t="s">
        <v>154</v>
      </c>
    </row>
    <row r="29" spans="2:3">
      <c r="B29" s="11" t="s">
        <v>155</v>
      </c>
      <c r="C29" t="s">
        <v>146</v>
      </c>
    </row>
    <row r="30" spans="2:3">
      <c r="B30" s="11" t="s">
        <v>157</v>
      </c>
      <c r="C30" t="s">
        <v>159</v>
      </c>
    </row>
    <row r="31" spans="2:3">
      <c r="B31" s="11" t="s">
        <v>160</v>
      </c>
      <c r="C31" t="s">
        <v>159</v>
      </c>
    </row>
    <row r="32" spans="2:3">
      <c r="B32" s="11" t="s">
        <v>162</v>
      </c>
      <c r="C32" t="s">
        <v>87</v>
      </c>
    </row>
    <row r="33" spans="2:3">
      <c r="B33" s="11" t="s">
        <v>164</v>
      </c>
      <c r="C33" t="s">
        <v>159</v>
      </c>
    </row>
    <row r="34" spans="2:3">
      <c r="B34" s="11" t="s">
        <v>166</v>
      </c>
      <c r="C34" t="s">
        <v>168</v>
      </c>
    </row>
    <row r="35" spans="2:3">
      <c r="B35" s="11" t="s">
        <v>169</v>
      </c>
      <c r="C35" t="s">
        <v>171</v>
      </c>
    </row>
    <row r="36" spans="2:3">
      <c r="B36" s="11" t="s">
        <v>172</v>
      </c>
      <c r="C36" t="s">
        <v>87</v>
      </c>
    </row>
    <row r="37" spans="2:3">
      <c r="B37" s="11" t="s">
        <v>174</v>
      </c>
      <c r="C37" t="s">
        <v>138</v>
      </c>
    </row>
    <row r="38" spans="2:3">
      <c r="B38" s="11" t="s">
        <v>176</v>
      </c>
      <c r="C38" t="s">
        <v>178</v>
      </c>
    </row>
    <row r="39" spans="2:3">
      <c r="B39" s="11" t="s">
        <v>179</v>
      </c>
      <c r="C39" t="s">
        <v>181</v>
      </c>
    </row>
    <row r="40" spans="2:3">
      <c r="B40" s="11" t="s">
        <v>182</v>
      </c>
      <c r="C40" t="s">
        <v>184</v>
      </c>
    </row>
    <row r="41" spans="2:3">
      <c r="B41" s="11" t="s">
        <v>185</v>
      </c>
      <c r="C41" t="s">
        <v>187</v>
      </c>
    </row>
    <row r="42" spans="2:3">
      <c r="B42" s="11" t="s">
        <v>188</v>
      </c>
      <c r="C42" t="s">
        <v>190</v>
      </c>
    </row>
    <row r="43" spans="2:3">
      <c r="B43" s="11" t="s">
        <v>191</v>
      </c>
      <c r="C43" t="s">
        <v>193</v>
      </c>
    </row>
    <row r="44" spans="2:3">
      <c r="B44" s="11" t="s">
        <v>194</v>
      </c>
      <c r="C44" t="s">
        <v>196</v>
      </c>
    </row>
    <row r="45" spans="2:3">
      <c r="B45" s="11" t="s">
        <v>197</v>
      </c>
      <c r="C45" t="s">
        <v>199</v>
      </c>
    </row>
    <row r="46" spans="2:3">
      <c r="B46" s="11" t="s">
        <v>200</v>
      </c>
      <c r="C46" t="s">
        <v>112</v>
      </c>
    </row>
    <row r="47" spans="2:3">
      <c r="B47" s="11" t="s">
        <v>202</v>
      </c>
      <c r="C47" t="s">
        <v>105</v>
      </c>
    </row>
    <row r="50" spans="2:3">
      <c r="B50" s="1" t="s">
        <v>224</v>
      </c>
    </row>
    <row r="51" spans="2:3">
      <c r="B51" t="s">
        <v>205</v>
      </c>
      <c r="C51" t="s">
        <v>159</v>
      </c>
    </row>
    <row r="52" spans="2:3">
      <c r="B52" t="s">
        <v>207</v>
      </c>
      <c r="C52" t="s">
        <v>209</v>
      </c>
    </row>
    <row r="53" spans="2:3">
      <c r="B53" t="s">
        <v>210</v>
      </c>
      <c r="C53" t="s">
        <v>212</v>
      </c>
    </row>
    <row r="54" spans="2:3">
      <c r="B54" t="s">
        <v>213</v>
      </c>
      <c r="C54" t="s">
        <v>215</v>
      </c>
    </row>
    <row r="55" spans="2:3">
      <c r="B55" t="s">
        <v>216</v>
      </c>
      <c r="C55" t="s">
        <v>112</v>
      </c>
    </row>
    <row r="56" spans="2:3">
      <c r="B56" t="s">
        <v>218</v>
      </c>
      <c r="C56" t="s">
        <v>220</v>
      </c>
    </row>
    <row r="58" spans="2:3">
      <c r="B58" s="7" t="s">
        <v>225</v>
      </c>
    </row>
    <row r="59" spans="2:3">
      <c r="B59" s="12" t="s">
        <v>115</v>
      </c>
      <c r="C59" t="s">
        <v>117</v>
      </c>
    </row>
    <row r="60" spans="2:3">
      <c r="B60" s="12" t="s">
        <v>118</v>
      </c>
      <c r="C60" t="s">
        <v>43</v>
      </c>
    </row>
    <row r="61" spans="2:3">
      <c r="B61" s="12" t="s">
        <v>120</v>
      </c>
      <c r="C61" t="s">
        <v>82</v>
      </c>
    </row>
    <row r="62" spans="2:3">
      <c r="B62" s="12" t="s">
        <v>122</v>
      </c>
      <c r="C62" t="s">
        <v>124</v>
      </c>
    </row>
    <row r="64" spans="2:3">
      <c r="B64" s="7" t="s">
        <v>226</v>
      </c>
    </row>
    <row r="65" spans="2:3">
      <c r="B65" s="13" t="s">
        <v>26</v>
      </c>
      <c r="C65" t="s">
        <v>28</v>
      </c>
    </row>
    <row r="66" spans="2:3">
      <c r="B66" s="13" t="s">
        <v>29</v>
      </c>
      <c r="C66" t="s">
        <v>31</v>
      </c>
    </row>
    <row r="67" spans="2:3">
      <c r="B67" s="13" t="s">
        <v>35</v>
      </c>
      <c r="C67" t="s">
        <v>37</v>
      </c>
    </row>
    <row r="68" spans="2:3">
      <c r="B68" s="13" t="s">
        <v>41</v>
      </c>
      <c r="C68" t="s">
        <v>43</v>
      </c>
    </row>
    <row r="69" spans="2:3">
      <c r="B69" s="13" t="s">
        <v>47</v>
      </c>
      <c r="C69" t="s">
        <v>49</v>
      </c>
    </row>
    <row r="70" spans="2:3">
      <c r="B70" s="13" t="s">
        <v>50</v>
      </c>
      <c r="C70" t="s">
        <v>43</v>
      </c>
    </row>
    <row r="71" spans="2:3">
      <c r="B71" s="13" t="s">
        <v>57</v>
      </c>
      <c r="C71" t="s">
        <v>54</v>
      </c>
    </row>
    <row r="72" spans="2:3">
      <c r="B72" s="13" t="s">
        <v>62</v>
      </c>
      <c r="C72" t="s">
        <v>64</v>
      </c>
    </row>
    <row r="73" spans="2:3">
      <c r="B73" s="13" t="s">
        <v>70</v>
      </c>
      <c r="C73" t="s">
        <v>72</v>
      </c>
    </row>
    <row r="74" spans="2:3">
      <c r="B74" s="13" t="s">
        <v>73</v>
      </c>
      <c r="C74" t="s">
        <v>67</v>
      </c>
    </row>
    <row r="75" spans="2:3">
      <c r="B75" s="13" t="s">
        <v>75</v>
      </c>
      <c r="C75" t="s">
        <v>43</v>
      </c>
    </row>
    <row r="76" spans="2:3">
      <c r="B76" s="13" t="s">
        <v>77</v>
      </c>
      <c r="C76" t="s">
        <v>79</v>
      </c>
    </row>
    <row r="77" spans="2:3">
      <c r="B77" s="13" t="s">
        <v>80</v>
      </c>
      <c r="C77" t="s">
        <v>82</v>
      </c>
    </row>
    <row r="78" spans="2:3">
      <c r="B78" s="13" t="s">
        <v>83</v>
      </c>
      <c r="C78" t="s">
        <v>43</v>
      </c>
    </row>
    <row r="79" spans="2:3">
      <c r="B79" s="13" t="s">
        <v>85</v>
      </c>
      <c r="C79" t="s">
        <v>87</v>
      </c>
    </row>
    <row r="80" spans="2:3">
      <c r="B80" s="13" t="s">
        <v>91</v>
      </c>
      <c r="C80" t="s">
        <v>43</v>
      </c>
    </row>
    <row r="81" spans="2:3">
      <c r="B81" s="13" t="s">
        <v>96</v>
      </c>
      <c r="C81" t="s">
        <v>19</v>
      </c>
    </row>
    <row r="82" spans="2:3">
      <c r="B82" s="13" t="s">
        <v>98</v>
      </c>
      <c r="C82" t="s">
        <v>12</v>
      </c>
    </row>
    <row r="83" spans="2:3">
      <c r="B83" s="13" t="s">
        <v>100</v>
      </c>
      <c r="C83" t="s">
        <v>102</v>
      </c>
    </row>
    <row r="84" spans="2:3">
      <c r="B84" s="13" t="s">
        <v>106</v>
      </c>
      <c r="C84" t="s">
        <v>12</v>
      </c>
    </row>
    <row r="85" spans="2:3">
      <c r="B85" s="13" t="s">
        <v>113</v>
      </c>
      <c r="C85" t="s">
        <v>43</v>
      </c>
    </row>
    <row r="87" spans="2:3">
      <c r="B87" s="1" t="s">
        <v>227</v>
      </c>
    </row>
    <row r="88" spans="2:3">
      <c r="B88" s="15" t="s">
        <v>38</v>
      </c>
      <c r="C88" t="s">
        <v>40</v>
      </c>
    </row>
    <row r="89" spans="2:3">
      <c r="B89" s="15" t="s">
        <v>44</v>
      </c>
      <c r="C89" t="s">
        <v>46</v>
      </c>
    </row>
    <row r="90" spans="2:3">
      <c r="B90" s="15" t="s">
        <v>52</v>
      </c>
      <c r="C90" t="s">
        <v>54</v>
      </c>
    </row>
    <row r="91" spans="2:3">
      <c r="B91" s="15" t="s">
        <v>55</v>
      </c>
      <c r="C91" t="s">
        <v>43</v>
      </c>
    </row>
    <row r="92" spans="2:3">
      <c r="B92" s="15" t="s">
        <v>59</v>
      </c>
      <c r="C92" t="s">
        <v>61</v>
      </c>
    </row>
    <row r="93" spans="2:3">
      <c r="B93" s="15" t="s">
        <v>65</v>
      </c>
      <c r="C93" t="s">
        <v>67</v>
      </c>
    </row>
    <row r="94" spans="2:3">
      <c r="B94" s="15" t="s">
        <v>68</v>
      </c>
      <c r="C94" t="s">
        <v>43</v>
      </c>
    </row>
  </sheetData>
  <pageMargins left="0.7" right="0.7" top="0.75" bottom="0.75" header="0.3" footer="0.3"/>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C397-8DF1-476E-85B1-6C41F1625089}">
  <dimension ref="C3:D83"/>
  <sheetViews>
    <sheetView workbookViewId="0">
      <selection activeCell="D1" sqref="D1"/>
    </sheetView>
  </sheetViews>
  <sheetFormatPr defaultRowHeight="15"/>
  <cols>
    <col min="3" max="3" width="154.42578125" customWidth="1"/>
    <col min="4" max="4" width="87.85546875" customWidth="1"/>
  </cols>
  <sheetData>
    <row r="3" spans="3:4">
      <c r="C3" s="2" t="s">
        <v>11</v>
      </c>
      <c r="D3" s="2" t="s">
        <v>11</v>
      </c>
    </row>
    <row r="4" spans="3:4">
      <c r="C4" s="2" t="s">
        <v>14</v>
      </c>
      <c r="D4" s="2" t="s">
        <v>14</v>
      </c>
    </row>
    <row r="5" spans="3:4">
      <c r="C5" s="2" t="s">
        <v>16</v>
      </c>
      <c r="D5" s="2" t="s">
        <v>16</v>
      </c>
    </row>
    <row r="6" spans="3:4">
      <c r="C6" s="2" t="s">
        <v>18</v>
      </c>
      <c r="D6" s="2" t="s">
        <v>228</v>
      </c>
    </row>
    <row r="7" spans="3:4">
      <c r="C7" s="2" t="s">
        <v>21</v>
      </c>
      <c r="D7" s="2" t="s">
        <v>229</v>
      </c>
    </row>
    <row r="8" spans="3:4">
      <c r="C8" s="2" t="s">
        <v>24</v>
      </c>
      <c r="D8" s="2" t="s">
        <v>230</v>
      </c>
    </row>
    <row r="9" spans="3:4">
      <c r="C9" s="2" t="s">
        <v>27</v>
      </c>
      <c r="D9" s="2" t="s">
        <v>231</v>
      </c>
    </row>
    <row r="10" spans="3:4">
      <c r="C10" s="2" t="s">
        <v>30</v>
      </c>
      <c r="D10" s="2" t="s">
        <v>232</v>
      </c>
    </row>
    <row r="11" spans="3:4">
      <c r="C11" s="2" t="s">
        <v>33</v>
      </c>
      <c r="D11" s="2" t="s">
        <v>233</v>
      </c>
    </row>
    <row r="12" spans="3:4">
      <c r="C12" s="2" t="s">
        <v>36</v>
      </c>
      <c r="D12" s="2" t="s">
        <v>234</v>
      </c>
    </row>
    <row r="13" spans="3:4">
      <c r="C13" s="2" t="s">
        <v>39</v>
      </c>
      <c r="D13" s="2" t="s">
        <v>235</v>
      </c>
    </row>
    <row r="14" spans="3:4">
      <c r="C14" s="2" t="s">
        <v>42</v>
      </c>
      <c r="D14" s="2" t="s">
        <v>236</v>
      </c>
    </row>
    <row r="15" spans="3:4">
      <c r="C15" s="2" t="s">
        <v>45</v>
      </c>
      <c r="D15" s="2" t="s">
        <v>237</v>
      </c>
    </row>
    <row r="16" spans="3:4">
      <c r="C16" s="2" t="s">
        <v>48</v>
      </c>
      <c r="D16" s="2" t="s">
        <v>238</v>
      </c>
    </row>
    <row r="17" spans="3:4">
      <c r="C17" s="2" t="s">
        <v>51</v>
      </c>
      <c r="D17" s="2" t="s">
        <v>239</v>
      </c>
    </row>
    <row r="18" spans="3:4">
      <c r="C18" s="2" t="s">
        <v>53</v>
      </c>
      <c r="D18" s="2" t="s">
        <v>240</v>
      </c>
    </row>
    <row r="19" spans="3:4">
      <c r="C19" s="2" t="s">
        <v>56</v>
      </c>
      <c r="D19" s="2" t="s">
        <v>241</v>
      </c>
    </row>
    <row r="20" spans="3:4">
      <c r="C20" s="2" t="s">
        <v>58</v>
      </c>
      <c r="D20" s="2" t="s">
        <v>242</v>
      </c>
    </row>
    <row r="21" spans="3:4">
      <c r="C21" s="2" t="s">
        <v>60</v>
      </c>
      <c r="D21" s="2" t="s">
        <v>243</v>
      </c>
    </row>
    <row r="22" spans="3:4">
      <c r="C22" s="2" t="s">
        <v>63</v>
      </c>
      <c r="D22" s="2" t="s">
        <v>244</v>
      </c>
    </row>
    <row r="23" spans="3:4">
      <c r="C23" s="2" t="s">
        <v>66</v>
      </c>
      <c r="D23" s="2" t="s">
        <v>245</v>
      </c>
    </row>
    <row r="24" spans="3:4">
      <c r="C24" s="2" t="s">
        <v>69</v>
      </c>
      <c r="D24" s="2" t="s">
        <v>246</v>
      </c>
    </row>
    <row r="25" spans="3:4">
      <c r="C25" s="2" t="s">
        <v>71</v>
      </c>
      <c r="D25" s="2" t="s">
        <v>247</v>
      </c>
    </row>
    <row r="26" spans="3:4">
      <c r="C26" s="2" t="s">
        <v>74</v>
      </c>
      <c r="D26" s="2" t="s">
        <v>248</v>
      </c>
    </row>
    <row r="27" spans="3:4">
      <c r="C27" s="3" t="s">
        <v>76</v>
      </c>
      <c r="D27" s="2" t="s">
        <v>76</v>
      </c>
    </row>
    <row r="28" spans="3:4">
      <c r="C28" s="2" t="s">
        <v>78</v>
      </c>
      <c r="D28" s="2" t="s">
        <v>249</v>
      </c>
    </row>
    <row r="29" spans="3:4">
      <c r="C29" s="2" t="s">
        <v>81</v>
      </c>
      <c r="D29" s="2" t="s">
        <v>81</v>
      </c>
    </row>
    <row r="30" spans="3:4">
      <c r="C30" s="2" t="s">
        <v>84</v>
      </c>
      <c r="D30" s="2" t="s">
        <v>84</v>
      </c>
    </row>
    <row r="31" spans="3:4">
      <c r="C31" s="2" t="s">
        <v>86</v>
      </c>
      <c r="D31" s="2" t="s">
        <v>250</v>
      </c>
    </row>
    <row r="32" spans="3:4">
      <c r="C32" s="2" t="s">
        <v>89</v>
      </c>
      <c r="D32" s="2" t="s">
        <v>251</v>
      </c>
    </row>
    <row r="33" spans="3:4">
      <c r="C33" s="2" t="s">
        <v>92</v>
      </c>
      <c r="D33" s="2" t="s">
        <v>252</v>
      </c>
    </row>
    <row r="34" spans="3:4">
      <c r="C34" s="2" t="s">
        <v>94</v>
      </c>
      <c r="D34" s="2" t="s">
        <v>94</v>
      </c>
    </row>
    <row r="35" spans="3:4">
      <c r="C35" s="2" t="s">
        <v>97</v>
      </c>
      <c r="D35" s="2" t="s">
        <v>253</v>
      </c>
    </row>
    <row r="36" spans="3:4">
      <c r="C36" s="2" t="s">
        <v>99</v>
      </c>
      <c r="D36" s="2" t="s">
        <v>254</v>
      </c>
    </row>
    <row r="37" spans="3:4">
      <c r="C37" s="2" t="s">
        <v>101</v>
      </c>
      <c r="D37" s="2" t="s">
        <v>255</v>
      </c>
    </row>
    <row r="38" spans="3:4">
      <c r="C38" s="2" t="s">
        <v>104</v>
      </c>
      <c r="D38" s="2" t="s">
        <v>256</v>
      </c>
    </row>
    <row r="39" spans="3:4">
      <c r="C39" s="2" t="s">
        <v>108</v>
      </c>
      <c r="D39" s="2" t="s">
        <v>257</v>
      </c>
    </row>
    <row r="40" spans="3:4">
      <c r="C40" s="2" t="s">
        <v>111</v>
      </c>
      <c r="D40" s="2" t="s">
        <v>258</v>
      </c>
    </row>
    <row r="41" spans="3:4">
      <c r="C41" s="2" t="s">
        <v>114</v>
      </c>
      <c r="D41" s="2" t="s">
        <v>259</v>
      </c>
    </row>
    <row r="42" spans="3:4">
      <c r="C42" s="2" t="s">
        <v>116</v>
      </c>
      <c r="D42" s="2" t="s">
        <v>260</v>
      </c>
    </row>
    <row r="43" spans="3:4">
      <c r="C43" s="2" t="s">
        <v>119</v>
      </c>
      <c r="D43" s="2" t="s">
        <v>261</v>
      </c>
    </row>
    <row r="44" spans="3:4">
      <c r="C44" s="2" t="s">
        <v>121</v>
      </c>
      <c r="D44" s="2" t="s">
        <v>262</v>
      </c>
    </row>
    <row r="45" spans="3:4">
      <c r="C45" s="2" t="s">
        <v>123</v>
      </c>
      <c r="D45" s="2" t="s">
        <v>263</v>
      </c>
    </row>
    <row r="46" spans="3:4">
      <c r="C46" s="2" t="s">
        <v>126</v>
      </c>
      <c r="D46" s="2" t="s">
        <v>264</v>
      </c>
    </row>
    <row r="47" spans="3:4">
      <c r="C47" s="2" t="s">
        <v>128</v>
      </c>
      <c r="D47" s="2" t="s">
        <v>265</v>
      </c>
    </row>
    <row r="48" spans="3:4">
      <c r="C48" s="2" t="s">
        <v>130</v>
      </c>
      <c r="D48" s="2" t="s">
        <v>266</v>
      </c>
    </row>
    <row r="49" spans="3:4">
      <c r="C49" s="2" t="s">
        <v>132</v>
      </c>
      <c r="D49" s="2" t="s">
        <v>267</v>
      </c>
    </row>
    <row r="50" spans="3:4">
      <c r="C50" s="2" t="s">
        <v>135</v>
      </c>
      <c r="D50" s="2" t="s">
        <v>268</v>
      </c>
    </row>
    <row r="51" spans="3:4">
      <c r="C51" s="2" t="s">
        <v>137</v>
      </c>
      <c r="D51" s="2" t="s">
        <v>269</v>
      </c>
    </row>
    <row r="52" spans="3:4">
      <c r="C52" s="2" t="s">
        <v>140</v>
      </c>
      <c r="D52" s="2" t="s">
        <v>270</v>
      </c>
    </row>
    <row r="53" spans="3:4">
      <c r="C53" s="2" t="s">
        <v>142</v>
      </c>
      <c r="D53" s="2" t="s">
        <v>271</v>
      </c>
    </row>
    <row r="54" spans="3:4">
      <c r="C54" s="2" t="s">
        <v>145</v>
      </c>
      <c r="D54" s="2" t="s">
        <v>272</v>
      </c>
    </row>
    <row r="55" spans="3:4">
      <c r="C55" s="2" t="s">
        <v>148</v>
      </c>
      <c r="D55" s="2" t="s">
        <v>273</v>
      </c>
    </row>
    <row r="56" spans="3:4">
      <c r="C56" s="2" t="s">
        <v>151</v>
      </c>
      <c r="D56" s="2" t="s">
        <v>274</v>
      </c>
    </row>
    <row r="57" spans="3:4">
      <c r="C57" s="2" t="s">
        <v>153</v>
      </c>
      <c r="D57" s="2" t="s">
        <v>275</v>
      </c>
    </row>
    <row r="58" spans="3:4">
      <c r="C58" s="2" t="s">
        <v>156</v>
      </c>
      <c r="D58" s="2" t="s">
        <v>276</v>
      </c>
    </row>
    <row r="59" spans="3:4">
      <c r="C59" s="2" t="s">
        <v>158</v>
      </c>
      <c r="D59" s="2" t="s">
        <v>277</v>
      </c>
    </row>
    <row r="60" spans="3:4">
      <c r="C60" s="2" t="s">
        <v>161</v>
      </c>
      <c r="D60" s="2" t="s">
        <v>278</v>
      </c>
    </row>
    <row r="61" spans="3:4">
      <c r="C61" s="2" t="s">
        <v>163</v>
      </c>
      <c r="D61" s="2" t="s">
        <v>279</v>
      </c>
    </row>
    <row r="62" spans="3:4">
      <c r="C62" s="2" t="s">
        <v>165</v>
      </c>
      <c r="D62" s="2" t="s">
        <v>280</v>
      </c>
    </row>
    <row r="63" spans="3:4">
      <c r="C63" s="2" t="s">
        <v>167</v>
      </c>
      <c r="D63" s="2" t="s">
        <v>281</v>
      </c>
    </row>
    <row r="64" spans="3:4">
      <c r="C64" s="2" t="s">
        <v>170</v>
      </c>
      <c r="D64" s="2" t="s">
        <v>282</v>
      </c>
    </row>
    <row r="65" spans="3:4">
      <c r="C65" s="2" t="s">
        <v>173</v>
      </c>
      <c r="D65" s="2" t="s">
        <v>283</v>
      </c>
    </row>
    <row r="66" spans="3:4">
      <c r="C66" s="2" t="s">
        <v>175</v>
      </c>
      <c r="D66" s="2" t="s">
        <v>284</v>
      </c>
    </row>
    <row r="67" spans="3:4">
      <c r="C67" s="2" t="s">
        <v>177</v>
      </c>
      <c r="D67" s="2" t="s">
        <v>285</v>
      </c>
    </row>
    <row r="68" spans="3:4">
      <c r="C68" s="2" t="s">
        <v>180</v>
      </c>
      <c r="D68" s="2" t="s">
        <v>286</v>
      </c>
    </row>
    <row r="69" spans="3:4">
      <c r="C69" s="2" t="s">
        <v>183</v>
      </c>
      <c r="D69" s="2" t="s">
        <v>287</v>
      </c>
    </row>
    <row r="70" spans="3:4">
      <c r="C70" s="2" t="s">
        <v>186</v>
      </c>
      <c r="D70" s="2" t="s">
        <v>288</v>
      </c>
    </row>
    <row r="71" spans="3:4">
      <c r="C71" s="2" t="s">
        <v>189</v>
      </c>
      <c r="D71" s="2" t="s">
        <v>289</v>
      </c>
    </row>
    <row r="72" spans="3:4">
      <c r="C72" s="2" t="s">
        <v>192</v>
      </c>
      <c r="D72" s="2" t="s">
        <v>290</v>
      </c>
    </row>
    <row r="73" spans="3:4">
      <c r="C73" s="2" t="s">
        <v>195</v>
      </c>
      <c r="D73" s="2" t="s">
        <v>291</v>
      </c>
    </row>
    <row r="74" spans="3:4">
      <c r="C74" s="2" t="s">
        <v>198</v>
      </c>
      <c r="D74" s="2" t="s">
        <v>292</v>
      </c>
    </row>
    <row r="75" spans="3:4">
      <c r="C75" s="2" t="s">
        <v>201</v>
      </c>
      <c r="D75" s="2" t="s">
        <v>293</v>
      </c>
    </row>
    <row r="76" spans="3:4">
      <c r="C76" s="2" t="s">
        <v>203</v>
      </c>
      <c r="D76" s="2" t="s">
        <v>294</v>
      </c>
    </row>
    <row r="77" spans="3:4">
      <c r="C77" s="2" t="s">
        <v>206</v>
      </c>
      <c r="D77" s="2" t="s">
        <v>295</v>
      </c>
    </row>
    <row r="78" spans="3:4">
      <c r="C78" s="2" t="s">
        <v>208</v>
      </c>
      <c r="D78" s="2" t="s">
        <v>296</v>
      </c>
    </row>
    <row r="79" spans="3:4">
      <c r="C79" s="2" t="s">
        <v>211</v>
      </c>
      <c r="D79" s="2" t="s">
        <v>297</v>
      </c>
    </row>
    <row r="80" spans="3:4">
      <c r="C80" s="2" t="s">
        <v>214</v>
      </c>
      <c r="D80" s="2" t="s">
        <v>298</v>
      </c>
    </row>
    <row r="81" spans="3:4">
      <c r="C81" s="2" t="s">
        <v>217</v>
      </c>
      <c r="D81" s="2" t="s">
        <v>299</v>
      </c>
    </row>
    <row r="82" spans="3:4">
      <c r="C82" s="2" t="s">
        <v>219</v>
      </c>
      <c r="D82" s="2" t="s">
        <v>219</v>
      </c>
    </row>
    <row r="83" spans="3:4">
      <c r="C83" s="2" t="s">
        <v>300</v>
      </c>
      <c r="D83" s="2" t="s">
        <v>300</v>
      </c>
    </row>
  </sheetData>
  <hyperlinks>
    <hyperlink ref="C3" r:id="rId1" xr:uid="{C67FCFF4-876E-436F-80E9-38D19983FD75}"/>
    <hyperlink ref="C4" r:id="rId2" xr:uid="{2DB3A7FC-CA01-43F5-9B54-8DB7E95C2C34}"/>
    <hyperlink ref="C5" r:id="rId3" xr:uid="{CC088D58-95A5-4E6E-8977-19297A677959}"/>
    <hyperlink ref="C6" r:id="rId4" xr:uid="{A9EEC6F9-02D8-4729-8BCD-A99889C36756}"/>
    <hyperlink ref="C7" r:id="rId5" xr:uid="{2779F8AD-054C-427D-B7F9-9FD4B907A4E0}"/>
    <hyperlink ref="C8" r:id="rId6" xr:uid="{F4E13A2A-CFC4-41A4-8A1F-EA43325B649F}"/>
    <hyperlink ref="C9" r:id="rId7" xr:uid="{3CB46D93-B1B3-4BF3-B3EA-AB0256035B0B}"/>
    <hyperlink ref="C10" r:id="rId8" xr:uid="{31D116FC-B7BB-493F-BED3-3A28EBD7C53C}"/>
    <hyperlink ref="C11" r:id="rId9" xr:uid="{FC02E624-0B66-4E87-8F3F-B4721F330C43}"/>
    <hyperlink ref="C12" r:id="rId10" xr:uid="{79B0EA7B-7F1B-4966-A2C1-ED285BD212EF}"/>
    <hyperlink ref="C13" r:id="rId11" xr:uid="{6902FBB5-1692-4DF8-84E5-740C64A61EEC}"/>
    <hyperlink ref="C14" r:id="rId12" xr:uid="{ADA527E3-374B-4401-B0C9-1BC4E8AB0DC8}"/>
    <hyperlink ref="C15" r:id="rId13" xr:uid="{901213C3-B52D-40F7-BDE3-A86F4331DCB7}"/>
    <hyperlink ref="C16" r:id="rId14" xr:uid="{A98C0F15-F7DE-4862-80A8-31599620A332}"/>
    <hyperlink ref="C17" r:id="rId15" xr:uid="{FA0156B3-25E7-499B-A24B-FBD8E82A99B5}"/>
    <hyperlink ref="C18" r:id="rId16" xr:uid="{DF661B72-5918-438C-BB30-7330FE91E26C}"/>
    <hyperlink ref="C19" r:id="rId17" xr:uid="{84000C73-1233-464C-ABB9-5EDEF127D48B}"/>
    <hyperlink ref="C20" r:id="rId18" xr:uid="{23DDCCFD-CD1A-4571-8C10-5AAC602880B5}"/>
    <hyperlink ref="C21" r:id="rId19" xr:uid="{051D2089-E3E8-4CEB-AAEC-DDD01BB94078}"/>
    <hyperlink ref="C22" r:id="rId20" xr:uid="{0836155E-DFEE-4B8E-9FA9-7BC69127786E}"/>
    <hyperlink ref="C23" r:id="rId21" xr:uid="{5EC6B3E6-C52B-4D82-9063-C443979A2CCE}"/>
    <hyperlink ref="C24" r:id="rId22" xr:uid="{ADE3DBF4-7A61-49F4-80E8-8844B08010EF}"/>
    <hyperlink ref="C25" r:id="rId23" xr:uid="{73FED20C-4073-4076-B8DA-2D23913C6F91}"/>
    <hyperlink ref="C26" r:id="rId24" xr:uid="{387B44C1-C181-4FB0-88DA-4750DB983CF8}"/>
    <hyperlink ref="C27" r:id="rId25" xr:uid="{79E3CD48-FAF9-4A64-9C25-2B99B3FA47F5}"/>
    <hyperlink ref="C28" r:id="rId26" xr:uid="{32A4D88C-6DCC-4EE1-B105-05E69D991AA1}"/>
    <hyperlink ref="C29" r:id="rId27" xr:uid="{E16BAA6E-8267-4DBE-854B-BE5E6F4ADFA9}"/>
    <hyperlink ref="C30" r:id="rId28" xr:uid="{336BCE64-105D-46E1-8DCB-EA8A7662DAB7}"/>
    <hyperlink ref="C31" r:id="rId29" xr:uid="{F6AAA09C-9891-49D5-B1CB-CC62D05D27DD}"/>
    <hyperlink ref="C32" r:id="rId30" xr:uid="{D701A2C5-802B-4F7C-B3A2-1B67A2DBC574}"/>
    <hyperlink ref="C33" r:id="rId31" xr:uid="{9A714E5C-A7A6-4286-923D-5A022957EA41}"/>
    <hyperlink ref="C34" r:id="rId32" xr:uid="{CFF65DB5-5EB2-4465-B4B0-1AAA626E6E61}"/>
    <hyperlink ref="C35" r:id="rId33" xr:uid="{51482BEA-52CE-4C4F-8ED8-BE355A8D21EA}"/>
    <hyperlink ref="C36" r:id="rId34" xr:uid="{03D94CC1-FDBF-46CD-B008-A68926E66449}"/>
    <hyperlink ref="C37" r:id="rId35" xr:uid="{5EFB69D3-C650-406A-9E37-D25202A06945}"/>
    <hyperlink ref="C38" r:id="rId36" xr:uid="{56ED68DF-9A86-43F5-A5B3-CF9EBD46F7B9}"/>
    <hyperlink ref="C39" r:id="rId37" xr:uid="{4A8949ED-11A4-43EA-82FF-B9F2A8A30882}"/>
    <hyperlink ref="C40" r:id="rId38" xr:uid="{A3663202-394E-41BB-9C16-58A5BCE997B2}"/>
    <hyperlink ref="C41" r:id="rId39" xr:uid="{EE211C1C-D17F-4B57-86AE-0EEC790AE138}"/>
    <hyperlink ref="C42" r:id="rId40" xr:uid="{80864890-3E28-4450-B5DF-3446DFCACCA7}"/>
    <hyperlink ref="C44" r:id="rId41" xr:uid="{D33230A5-65F0-4263-ADA9-F5746A789AD1}"/>
    <hyperlink ref="C45" r:id="rId42" xr:uid="{D84E9BBD-3E1D-4F53-8DA9-8A54EE6D21B3}"/>
    <hyperlink ref="C46" r:id="rId43" xr:uid="{9A8EFC37-9683-4F76-88E3-921F6C7BB788}"/>
    <hyperlink ref="C47" r:id="rId44" xr:uid="{6432D64E-C1EF-4BBA-8B2C-FD2D85835035}"/>
    <hyperlink ref="C48" r:id="rId45" xr:uid="{BBDBD7CE-2951-4996-BDB7-E2D2AB0351A3}"/>
    <hyperlink ref="C49" r:id="rId46" xr:uid="{075AEF57-318C-4DCB-9D5B-D75C896D9199}"/>
    <hyperlink ref="C50" r:id="rId47" xr:uid="{FBBD033D-4ED9-48D2-A5B4-9329B0351B53}"/>
    <hyperlink ref="C51" r:id="rId48" xr:uid="{6851169D-D4A3-4043-B4CD-F8EF84EA25C8}"/>
    <hyperlink ref="C52" r:id="rId49" xr:uid="{E4EE880B-CC92-4558-9D23-6D57A2BE4FB1}"/>
    <hyperlink ref="C53" r:id="rId50" xr:uid="{9193A4DC-C08A-45FE-8A7C-BE57A465E769}"/>
    <hyperlink ref="C54" r:id="rId51" xr:uid="{C922BD1B-3E31-4142-8583-E31AC7DEFC67}"/>
    <hyperlink ref="C55" r:id="rId52" xr:uid="{99508463-ECAE-4056-8309-5211A10CABDB}"/>
    <hyperlink ref="C56" r:id="rId53" xr:uid="{7B0721D6-BE9F-4052-ADDE-263C5D6C7B42}"/>
    <hyperlink ref="C57" r:id="rId54" xr:uid="{A19FD27B-3DBE-4E16-A67A-5F3637D1AAE1}"/>
    <hyperlink ref="C58" r:id="rId55" xr:uid="{4ACDB99E-CF7B-4252-B834-218658E820D1}"/>
    <hyperlink ref="C59" r:id="rId56" xr:uid="{938EF26B-042C-47CF-BAD8-348FE120D9EC}"/>
    <hyperlink ref="C60" r:id="rId57" xr:uid="{93A654C0-149A-46EA-A870-12CA78F8DCD5}"/>
    <hyperlink ref="C61" r:id="rId58" xr:uid="{EF513796-6134-4DBA-88F9-827510199E2E}"/>
    <hyperlink ref="C62" r:id="rId59" xr:uid="{ED8AC182-3081-4CD5-9193-84995BFF8715}"/>
    <hyperlink ref="C63" r:id="rId60" xr:uid="{D1BFE14C-9FAB-4916-9015-6B8E026133C8}"/>
    <hyperlink ref="C64" r:id="rId61" xr:uid="{BFEBC1C5-4545-4671-A3CC-3EF508E49ED5}"/>
    <hyperlink ref="C65" r:id="rId62" xr:uid="{C6BB8312-38DD-48C6-8580-5BFE0CC181B6}"/>
    <hyperlink ref="C66" r:id="rId63" xr:uid="{3DF569E4-0FDD-492E-AC32-291E27B8B10C}"/>
    <hyperlink ref="C67" r:id="rId64" xr:uid="{DFDD407A-3186-42DD-812C-671FAC001271}"/>
    <hyperlink ref="C68" r:id="rId65" xr:uid="{4529EC3B-0662-4ECC-8B43-26CC92683786}"/>
    <hyperlink ref="C69" r:id="rId66" xr:uid="{8569E8AF-E56E-476C-B39F-2C013DA91E18}"/>
    <hyperlink ref="C70" r:id="rId67" xr:uid="{66DDE594-E3DA-4157-9AE9-75DEC28D3AA1}"/>
    <hyperlink ref="C71" r:id="rId68" xr:uid="{005627D7-37AF-488E-A4AB-C0FCFBFAC25D}"/>
    <hyperlink ref="C72" r:id="rId69" xr:uid="{85BE3437-45C1-44CC-A2D2-CB94B572DC98}"/>
    <hyperlink ref="C73" r:id="rId70" xr:uid="{94622380-B548-478C-9BE4-14651EA629B1}"/>
    <hyperlink ref="C74" r:id="rId71" xr:uid="{DE059AC2-AED7-4061-992E-69590D9A1AAC}"/>
    <hyperlink ref="C75" r:id="rId72" xr:uid="{205918AB-10E9-4E79-B5A0-211A18E9506C}"/>
    <hyperlink ref="C76" r:id="rId73" xr:uid="{840DC0A4-D61D-4B2A-A724-7DBE3C07092A}"/>
    <hyperlink ref="C43" r:id="rId74" xr:uid="{3314725E-D987-47B9-B100-9317377E6930}"/>
    <hyperlink ref="C77" r:id="rId75" xr:uid="{98C757DC-13E8-4B42-A500-186530E9BD25}"/>
    <hyperlink ref="C78" r:id="rId76" xr:uid="{A18B8014-98E9-4BF4-8E9B-679B196A3689}"/>
    <hyperlink ref="C79" r:id="rId77" xr:uid="{DB07C0A2-0FC8-472A-958F-4467D4EE0CBF}"/>
    <hyperlink ref="C80" r:id="rId78" xr:uid="{13CE2F25-DE06-46E6-A5B0-DAE1BE0A3189}"/>
    <hyperlink ref="C81" r:id="rId79" xr:uid="{F837F6A9-7900-4741-AAF8-07C1F5A87EF7}"/>
    <hyperlink ref="C82" r:id="rId80" xr:uid="{61E7CBBA-757E-4263-BFAC-7A57E21E12C8}"/>
    <hyperlink ref="C83" r:id="rId81" xr:uid="{0DF8BBC4-DDFC-4C25-BEC4-A7339F044E91}"/>
    <hyperlink ref="D3" r:id="rId82" xr:uid="{7DE7EB50-5409-44F6-9933-9C13E0A2B6E5}"/>
    <hyperlink ref="D4" r:id="rId83" xr:uid="{EB093FC5-0209-4CED-9F32-FB4698AC2EA7}"/>
    <hyperlink ref="D5" r:id="rId84" xr:uid="{4B76B0B5-5EBC-47B8-BE0D-DBC7D0095587}"/>
    <hyperlink ref="D6" r:id="rId85" xr:uid="{8AEB49DF-FCA2-4A00-9696-AD728C027E41}"/>
    <hyperlink ref="D7" r:id="rId86" xr:uid="{B0BFA0D4-6C7E-4063-8197-D3BC97CC386E}"/>
    <hyperlink ref="D8" r:id="rId87" xr:uid="{FAE4DD79-E4A5-43C0-8D3F-13F26E4573D1}"/>
    <hyperlink ref="D9" r:id="rId88" xr:uid="{D996982D-2E81-4CBD-89B2-C06AB9D392CB}"/>
    <hyperlink ref="D10" r:id="rId89" xr:uid="{28F69D44-8819-4586-9E66-07E525342FE6}"/>
    <hyperlink ref="D11" r:id="rId90" xr:uid="{F8B9CB3D-97EE-41E5-BA15-B3E30B8870EC}"/>
    <hyperlink ref="D12" r:id="rId91" xr:uid="{93B70D4E-B63B-4788-AB62-146E848F5EC9}"/>
    <hyperlink ref="D13" r:id="rId92" xr:uid="{B0F1F412-FBDE-4BA6-B46A-9E3F21FB8DD8}"/>
    <hyperlink ref="D14" r:id="rId93" xr:uid="{1E7C1D17-541D-433A-96EC-02DEA25A9FAD}"/>
    <hyperlink ref="D15" r:id="rId94" xr:uid="{258CA6FD-AAF2-4222-B455-6B0417D29987}"/>
    <hyperlink ref="D16" r:id="rId95" xr:uid="{BEC7A435-573C-4D49-B820-5CC213855EE3}"/>
    <hyperlink ref="D17" r:id="rId96" xr:uid="{C0D40BB0-B6E7-4F98-8C09-5A06D7D4AA5E}"/>
    <hyperlink ref="D18" r:id="rId97" xr:uid="{A908489E-0534-46A0-A9B1-FC4DAEA9B9D1}"/>
    <hyperlink ref="D19" r:id="rId98" xr:uid="{B92840E3-4D01-45CE-9F4B-03BAE3AF73DD}"/>
    <hyperlink ref="D20" r:id="rId99" xr:uid="{6559A07B-52FD-473B-8568-3AAE66199FB8}"/>
    <hyperlink ref="D21" r:id="rId100" xr:uid="{AF53A920-484E-4872-84A1-2FB79C2656A3}"/>
    <hyperlink ref="D22" r:id="rId101" xr:uid="{B52CF471-8FC7-45C2-85E1-EEE50E53F0B6}"/>
    <hyperlink ref="D23" r:id="rId102" xr:uid="{32CC2048-29BA-44F8-9860-D7A52CD0DC55}"/>
    <hyperlink ref="D24" r:id="rId103" xr:uid="{98932C1C-9245-42AB-BF24-1C0376BAA720}"/>
    <hyperlink ref="D25" r:id="rId104" xr:uid="{57865110-FE17-4DA0-8606-63D9D3B522BA}"/>
    <hyperlink ref="D26" r:id="rId105" xr:uid="{1B5DB88A-EBE9-4369-AB46-4D281B8B7CA3}"/>
    <hyperlink ref="D27" r:id="rId106" xr:uid="{2F4377E9-95FC-40A6-B43C-ADAB6378716B}"/>
    <hyperlink ref="D28" r:id="rId107" xr:uid="{E94E1728-7A9D-411F-8A27-F5C017E9934E}"/>
    <hyperlink ref="D29" r:id="rId108" xr:uid="{BB59C9B7-3F33-4194-BE72-17C823B11371}"/>
    <hyperlink ref="D30" r:id="rId109" xr:uid="{8BCDD083-6EF3-46CF-B5E2-2C6283740CA9}"/>
    <hyperlink ref="D31" r:id="rId110" xr:uid="{1B684F99-2D5F-4407-B6D7-FC4CFD209A5E}"/>
    <hyperlink ref="D32" r:id="rId111" xr:uid="{65E2B549-9DF0-4DB3-A409-B32BA98BC28F}"/>
    <hyperlink ref="D33" r:id="rId112" xr:uid="{A30E221C-C642-4EE3-B5C9-F83D9E6FBF8F}"/>
    <hyperlink ref="D34" r:id="rId113" xr:uid="{B9E89957-2C92-4ECA-9935-4ED6CB31B43E}"/>
    <hyperlink ref="D35" r:id="rId114" xr:uid="{8D18F448-3E77-437B-8086-419DC23961E6}"/>
    <hyperlink ref="D36" r:id="rId115" xr:uid="{CDAEB26C-6282-4310-BAAA-640F4B73EE5B}"/>
    <hyperlink ref="D37" r:id="rId116" xr:uid="{F6B0605E-A2F5-4D26-8F60-95CE8D7DFE5C}"/>
    <hyperlink ref="D38" r:id="rId117" xr:uid="{0605C16B-FDB4-45DA-91FE-7AA2FB08708A}"/>
    <hyperlink ref="D39" r:id="rId118" xr:uid="{4FC157FE-74D8-4921-9A4E-10E2E37EFAEB}"/>
    <hyperlink ref="D40" r:id="rId119" xr:uid="{C24F2627-DCE9-4E42-95D9-0DFDAB2BA91B}"/>
    <hyperlink ref="D41" r:id="rId120" xr:uid="{097382B5-BB08-42D7-9C59-7817C186FA9E}"/>
    <hyperlink ref="D42" r:id="rId121" xr:uid="{564B280F-E10B-4D0D-B475-EEAF2878BFE8}"/>
    <hyperlink ref="D43" r:id="rId122" xr:uid="{AC3EF2B8-6A0B-4181-BB70-300DC142D43E}"/>
    <hyperlink ref="D44" r:id="rId123" xr:uid="{FFDB67BC-0EC1-4C06-BD4A-CE9B40F3AE14}"/>
    <hyperlink ref="D45" r:id="rId124" xr:uid="{976688FF-1525-427A-BA33-AC0631C9A90A}"/>
    <hyperlink ref="D46" r:id="rId125" xr:uid="{930A9F08-36E1-4569-A991-C9DBE16C4DCA}"/>
    <hyperlink ref="D47" r:id="rId126" xr:uid="{3A81C305-1A15-45CC-A338-15EFA7799C23}"/>
    <hyperlink ref="D48" r:id="rId127" xr:uid="{ED141BED-0703-4D6A-BD02-95173D10644A}"/>
    <hyperlink ref="D49" r:id="rId128" xr:uid="{8074F97B-53F0-45BC-A5AE-E7584E7CBEA7}"/>
    <hyperlink ref="D50" r:id="rId129" xr:uid="{9DD17845-0D07-4608-A687-D9103280090E}"/>
    <hyperlink ref="D51" r:id="rId130" xr:uid="{9545FB28-0EE4-4718-A653-3BF5D07A4F08}"/>
    <hyperlink ref="D52" r:id="rId131" xr:uid="{2EBF819D-ECDF-4BEC-9015-42867038222D}"/>
    <hyperlink ref="D53" r:id="rId132" xr:uid="{BA39D370-BB45-473A-BE5D-32B8B34D7CA7}"/>
    <hyperlink ref="D54" r:id="rId133" xr:uid="{5B22A5BD-2682-4F46-AD16-7D02FAC45C51}"/>
    <hyperlink ref="D55" r:id="rId134" xr:uid="{B503DD69-A7D0-491B-9C40-0710B73AA0A2}"/>
    <hyperlink ref="D56" r:id="rId135" xr:uid="{325A783C-1A36-4BA0-8635-164BD0D97F24}"/>
    <hyperlink ref="D57" r:id="rId136" xr:uid="{ED8DF050-B86B-4746-A515-0BE819973A8F}"/>
    <hyperlink ref="D58" r:id="rId137" xr:uid="{1D42F79E-6896-4407-B7D3-32199C07E129}"/>
    <hyperlink ref="D59" r:id="rId138" xr:uid="{65A3C7F2-FEE2-447C-B033-67802904F763}"/>
    <hyperlink ref="D60" r:id="rId139" xr:uid="{808A0D19-CDBA-4E3A-912F-B9CB259C6C78}"/>
    <hyperlink ref="D61" r:id="rId140" xr:uid="{0A3B02DB-FD90-40B7-A3B8-BB26AF4AC68B}"/>
    <hyperlink ref="D62" r:id="rId141" xr:uid="{1B613657-C613-4F5E-B72B-FFC4F790C95A}"/>
    <hyperlink ref="D63" r:id="rId142" xr:uid="{423F2A63-EDE2-48E0-A074-4B12B4B1E3A0}"/>
    <hyperlink ref="D64" r:id="rId143" xr:uid="{6D038513-907E-46F6-A2E9-E8D95A3E838C}"/>
    <hyperlink ref="D65" r:id="rId144" xr:uid="{85061651-7AF0-4747-A8F4-B8A436ADA61F}"/>
    <hyperlink ref="D66" r:id="rId145" xr:uid="{3C0C1572-CBB3-4B99-B3BA-1F3A8D8BDEF2}"/>
    <hyperlink ref="D67" r:id="rId146" xr:uid="{D359613D-A26D-4D24-86B9-4D915A27DA52}"/>
    <hyperlink ref="D68" r:id="rId147" xr:uid="{EF160839-6AAE-443F-A1D7-A028DF07A53A}"/>
    <hyperlink ref="D69" r:id="rId148" xr:uid="{BB8969CD-4142-43B3-AE6B-C54A4A1F5EC3}"/>
    <hyperlink ref="D70" r:id="rId149" xr:uid="{42714746-695E-4205-A47C-3FC3390FD476}"/>
    <hyperlink ref="D71" r:id="rId150" xr:uid="{3D8AEB33-E0C4-4002-9F62-574F1D05313A}"/>
    <hyperlink ref="D72" r:id="rId151" xr:uid="{45821AD9-FEA9-42DC-877C-9A142A2E81A1}"/>
    <hyperlink ref="D73" r:id="rId152" xr:uid="{914741D4-AB5D-4EFF-842B-C358C152E865}"/>
    <hyperlink ref="D74" r:id="rId153" xr:uid="{AF904C02-21A7-465C-B802-5284CC9F3A06}"/>
    <hyperlink ref="D75" r:id="rId154" xr:uid="{E3C9E9C2-0337-48E2-8FF8-64ADFF75FD44}"/>
    <hyperlink ref="D76" r:id="rId155" xr:uid="{F8DE24B1-B252-4CB6-9A74-DDD184F81039}"/>
    <hyperlink ref="D77" r:id="rId156" xr:uid="{693C2FD8-8766-4648-A7CC-F1E7607DC4FF}"/>
    <hyperlink ref="D78" r:id="rId157" xr:uid="{F659C8AF-D871-49C4-84A4-241E0FF52DDE}"/>
    <hyperlink ref="D79" r:id="rId158" xr:uid="{D9674D2B-20F9-43EF-B99A-82043BD56B47}"/>
    <hyperlink ref="D80" r:id="rId159" xr:uid="{5EF3811D-F6B4-432A-BE2C-5C30778F2BE2}"/>
    <hyperlink ref="D81" r:id="rId160" xr:uid="{E314325C-5D19-473F-B036-23433BC3866A}"/>
    <hyperlink ref="D82" r:id="rId161" xr:uid="{7E1B8191-CDD3-45E2-BC7E-CDAC08502E30}"/>
    <hyperlink ref="D83" r:id="rId162" xr:uid="{E3ECE4EC-D6BC-4BEA-A116-A677838BC4C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FCB1-7597-41A6-9862-95FCB627FE10}">
  <dimension ref="B4:B84"/>
  <sheetViews>
    <sheetView topLeftCell="A61" workbookViewId="0">
      <selection activeCell="B84" activeCellId="61" sqref="B23 B24 B25 B26 B27 B28 B29 B30 B31 B32 B33 B34 B35 B36 B37 B38 B39 B40 B41 B42 B43 B44 B45 B46 B47 B48 B49 B50 B51 B52 B53 B54 B55 B56 B57 B58 B59 B60 B61 B62 B63 B64 B65 B66 B67 B68 B69 B70 B71 B72 B73 B74 B75 B76 B77 B78 B79 B80 B81 B82 B83 B84"/>
    </sheetView>
  </sheetViews>
  <sheetFormatPr defaultRowHeight="15"/>
  <cols>
    <col min="2" max="2" width="179.42578125" customWidth="1"/>
  </cols>
  <sheetData>
    <row r="4" spans="2:2">
      <c r="B4" s="2" t="s">
        <v>11</v>
      </c>
    </row>
    <row r="5" spans="2:2">
      <c r="B5" s="2" t="s">
        <v>14</v>
      </c>
    </row>
    <row r="6" spans="2:2">
      <c r="B6" s="2" t="s">
        <v>16</v>
      </c>
    </row>
    <row r="7" spans="2:2">
      <c r="B7" s="2" t="s">
        <v>228</v>
      </c>
    </row>
    <row r="8" spans="2:2">
      <c r="B8" s="2" t="s">
        <v>229</v>
      </c>
    </row>
    <row r="9" spans="2:2">
      <c r="B9" s="2" t="s">
        <v>230</v>
      </c>
    </row>
    <row r="10" spans="2:2">
      <c r="B10" s="2" t="s">
        <v>231</v>
      </c>
    </row>
    <row r="11" spans="2:2">
      <c r="B11" s="2" t="s">
        <v>232</v>
      </c>
    </row>
    <row r="12" spans="2:2">
      <c r="B12" s="2" t="s">
        <v>233</v>
      </c>
    </row>
    <row r="13" spans="2:2">
      <c r="B13" s="2" t="s">
        <v>234</v>
      </c>
    </row>
    <row r="14" spans="2:2">
      <c r="B14" s="2" t="s">
        <v>235</v>
      </c>
    </row>
    <row r="15" spans="2:2">
      <c r="B15" s="2" t="s">
        <v>236</v>
      </c>
    </row>
    <row r="16" spans="2:2">
      <c r="B16" s="2" t="s">
        <v>237</v>
      </c>
    </row>
    <row r="17" spans="2:2">
      <c r="B17" s="2" t="s">
        <v>238</v>
      </c>
    </row>
    <row r="18" spans="2:2">
      <c r="B18" s="2" t="s">
        <v>239</v>
      </c>
    </row>
    <row r="19" spans="2:2">
      <c r="B19" s="2" t="s">
        <v>240</v>
      </c>
    </row>
    <row r="20" spans="2:2">
      <c r="B20" s="2" t="s">
        <v>241</v>
      </c>
    </row>
    <row r="21" spans="2:2">
      <c r="B21" s="2" t="s">
        <v>242</v>
      </c>
    </row>
    <row r="22" spans="2:2">
      <c r="B22" s="2" t="s">
        <v>243</v>
      </c>
    </row>
    <row r="23" spans="2:2">
      <c r="B23" s="2" t="s">
        <v>244</v>
      </c>
    </row>
    <row r="24" spans="2:2">
      <c r="B24" s="2" t="s">
        <v>245</v>
      </c>
    </row>
    <row r="25" spans="2:2">
      <c r="B25" s="2" t="s">
        <v>246</v>
      </c>
    </row>
    <row r="26" spans="2:2">
      <c r="B26" s="2" t="s">
        <v>247</v>
      </c>
    </row>
    <row r="27" spans="2:2">
      <c r="B27" s="2" t="s">
        <v>248</v>
      </c>
    </row>
    <row r="28" spans="2:2">
      <c r="B28" s="2" t="s">
        <v>76</v>
      </c>
    </row>
    <row r="29" spans="2:2">
      <c r="B29" s="2" t="s">
        <v>249</v>
      </c>
    </row>
    <row r="30" spans="2:2">
      <c r="B30" s="2" t="s">
        <v>81</v>
      </c>
    </row>
    <row r="31" spans="2:2">
      <c r="B31" s="2" t="s">
        <v>84</v>
      </c>
    </row>
    <row r="32" spans="2:2">
      <c r="B32" s="2" t="s">
        <v>250</v>
      </c>
    </row>
    <row r="33" spans="2:2">
      <c r="B33" s="2" t="s">
        <v>251</v>
      </c>
    </row>
    <row r="34" spans="2:2">
      <c r="B34" s="2" t="s">
        <v>252</v>
      </c>
    </row>
    <row r="35" spans="2:2">
      <c r="B35" s="2" t="s">
        <v>94</v>
      </c>
    </row>
    <row r="36" spans="2:2">
      <c r="B36" s="2" t="s">
        <v>253</v>
      </c>
    </row>
    <row r="37" spans="2:2">
      <c r="B37" s="2" t="s">
        <v>254</v>
      </c>
    </row>
    <row r="38" spans="2:2">
      <c r="B38" s="2" t="s">
        <v>255</v>
      </c>
    </row>
    <row r="39" spans="2:2">
      <c r="B39" s="2" t="s">
        <v>256</v>
      </c>
    </row>
    <row r="40" spans="2:2">
      <c r="B40" s="2" t="s">
        <v>257</v>
      </c>
    </row>
    <row r="41" spans="2:2">
      <c r="B41" s="2" t="s">
        <v>258</v>
      </c>
    </row>
    <row r="42" spans="2:2">
      <c r="B42" s="2" t="s">
        <v>259</v>
      </c>
    </row>
    <row r="43" spans="2:2">
      <c r="B43" s="2" t="s">
        <v>260</v>
      </c>
    </row>
    <row r="44" spans="2:2">
      <c r="B44" s="2" t="s">
        <v>261</v>
      </c>
    </row>
    <row r="45" spans="2:2">
      <c r="B45" s="2" t="s">
        <v>262</v>
      </c>
    </row>
    <row r="46" spans="2:2">
      <c r="B46" s="2" t="s">
        <v>263</v>
      </c>
    </row>
    <row r="47" spans="2:2">
      <c r="B47" s="2" t="s">
        <v>264</v>
      </c>
    </row>
    <row r="48" spans="2:2">
      <c r="B48" s="2" t="s">
        <v>265</v>
      </c>
    </row>
    <row r="49" spans="2:2">
      <c r="B49" s="2" t="s">
        <v>266</v>
      </c>
    </row>
    <row r="50" spans="2:2">
      <c r="B50" s="2" t="s">
        <v>267</v>
      </c>
    </row>
    <row r="51" spans="2:2">
      <c r="B51" s="2" t="s">
        <v>268</v>
      </c>
    </row>
    <row r="52" spans="2:2">
      <c r="B52" s="2" t="s">
        <v>269</v>
      </c>
    </row>
    <row r="53" spans="2:2">
      <c r="B53" s="2" t="s">
        <v>270</v>
      </c>
    </row>
    <row r="54" spans="2:2">
      <c r="B54" s="2" t="s">
        <v>271</v>
      </c>
    </row>
    <row r="55" spans="2:2">
      <c r="B55" s="2" t="s">
        <v>272</v>
      </c>
    </row>
    <row r="56" spans="2:2">
      <c r="B56" s="2" t="s">
        <v>273</v>
      </c>
    </row>
    <row r="57" spans="2:2">
      <c r="B57" s="2" t="s">
        <v>274</v>
      </c>
    </row>
    <row r="58" spans="2:2">
      <c r="B58" s="2" t="s">
        <v>275</v>
      </c>
    </row>
    <row r="59" spans="2:2">
      <c r="B59" s="2" t="s">
        <v>276</v>
      </c>
    </row>
    <row r="60" spans="2:2">
      <c r="B60" s="2" t="s">
        <v>277</v>
      </c>
    </row>
    <row r="61" spans="2:2">
      <c r="B61" s="2" t="s">
        <v>278</v>
      </c>
    </row>
    <row r="62" spans="2:2">
      <c r="B62" s="2" t="s">
        <v>279</v>
      </c>
    </row>
    <row r="63" spans="2:2">
      <c r="B63" s="2" t="s">
        <v>280</v>
      </c>
    </row>
    <row r="64" spans="2:2">
      <c r="B64" s="2" t="s">
        <v>281</v>
      </c>
    </row>
    <row r="65" spans="2:2">
      <c r="B65" s="2" t="s">
        <v>282</v>
      </c>
    </row>
    <row r="66" spans="2:2">
      <c r="B66" s="2" t="s">
        <v>283</v>
      </c>
    </row>
    <row r="67" spans="2:2">
      <c r="B67" s="2" t="s">
        <v>284</v>
      </c>
    </row>
    <row r="68" spans="2:2">
      <c r="B68" s="2" t="s">
        <v>285</v>
      </c>
    </row>
    <row r="69" spans="2:2">
      <c r="B69" s="2" t="s">
        <v>286</v>
      </c>
    </row>
    <row r="70" spans="2:2">
      <c r="B70" s="2" t="s">
        <v>287</v>
      </c>
    </row>
    <row r="71" spans="2:2">
      <c r="B71" s="2" t="s">
        <v>288</v>
      </c>
    </row>
    <row r="72" spans="2:2">
      <c r="B72" s="2" t="s">
        <v>289</v>
      </c>
    </row>
    <row r="73" spans="2:2">
      <c r="B73" s="2" t="s">
        <v>290</v>
      </c>
    </row>
    <row r="74" spans="2:2">
      <c r="B74" s="2" t="s">
        <v>291</v>
      </c>
    </row>
    <row r="75" spans="2:2">
      <c r="B75" s="2" t="s">
        <v>292</v>
      </c>
    </row>
    <row r="76" spans="2:2">
      <c r="B76" s="2" t="s">
        <v>293</v>
      </c>
    </row>
    <row r="77" spans="2:2">
      <c r="B77" s="2" t="s">
        <v>294</v>
      </c>
    </row>
    <row r="78" spans="2:2">
      <c r="B78" s="2" t="s">
        <v>295</v>
      </c>
    </row>
    <row r="79" spans="2:2">
      <c r="B79" s="2" t="s">
        <v>296</v>
      </c>
    </row>
    <row r="80" spans="2:2">
      <c r="B80" s="2" t="s">
        <v>297</v>
      </c>
    </row>
    <row r="81" spans="2:2">
      <c r="B81" s="2" t="s">
        <v>298</v>
      </c>
    </row>
    <row r="82" spans="2:2">
      <c r="B82" s="2" t="s">
        <v>299</v>
      </c>
    </row>
    <row r="83" spans="2:2">
      <c r="B83" s="2" t="s">
        <v>219</v>
      </c>
    </row>
    <row r="84" spans="2:2">
      <c r="B84" s="2" t="s">
        <v>300</v>
      </c>
    </row>
  </sheetData>
  <hyperlinks>
    <hyperlink ref="B4" r:id="rId1" xr:uid="{3088704C-3193-4455-A413-DCC6EB0A79BB}"/>
    <hyperlink ref="B5" r:id="rId2" xr:uid="{3080A3C3-1762-41B9-ADD9-6A82315C5385}"/>
    <hyperlink ref="B6" r:id="rId3" xr:uid="{F7EB15F4-DAF8-4A5E-980B-80C12948CDB3}"/>
    <hyperlink ref="B7" r:id="rId4" xr:uid="{F1C8AFAA-1C8B-4E49-B490-32229226DFFA}"/>
    <hyperlink ref="B8" r:id="rId5" xr:uid="{24D8945A-53A5-4374-9E48-E68A5415F399}"/>
    <hyperlink ref="B9" r:id="rId6" xr:uid="{94012E0F-C908-458E-9D21-DB1D77B76178}"/>
    <hyperlink ref="B10" r:id="rId7" xr:uid="{E4FA265D-E81D-49A4-B78C-FFABB5FA9F7F}"/>
    <hyperlink ref="B11" r:id="rId8" xr:uid="{230D8051-C92F-444E-96DD-4057180549C1}"/>
    <hyperlink ref="B12" r:id="rId9" xr:uid="{3746BEB0-B1CC-45E2-AEF6-7BCBE2E940B6}"/>
    <hyperlink ref="B13" r:id="rId10" xr:uid="{7A480EC2-3A7E-465D-A76A-CB944D4C2E0C}"/>
    <hyperlink ref="B14" r:id="rId11" xr:uid="{E433DC3E-086E-4030-A7F4-B8222EE61231}"/>
    <hyperlink ref="B15" r:id="rId12" xr:uid="{31D1C1D1-02F5-4FD4-A148-B71CA93F3AE0}"/>
    <hyperlink ref="B16" r:id="rId13" xr:uid="{1B19983F-3663-4460-AD25-ED02E7B0BF07}"/>
    <hyperlink ref="B17" r:id="rId14" xr:uid="{584F5BA9-37A3-4E58-A556-CFC34A7CDA45}"/>
    <hyperlink ref="B18" r:id="rId15" xr:uid="{CC4664A3-DC81-4C7B-8B10-C96220397F5E}"/>
    <hyperlink ref="B19" r:id="rId16" xr:uid="{9BA7BA65-C23E-4000-BAA1-0DB26D8E384E}"/>
    <hyperlink ref="B20" r:id="rId17" xr:uid="{77DA673C-E141-4A29-A1B0-B078BA272891}"/>
    <hyperlink ref="B21" r:id="rId18" xr:uid="{B7FFA30B-413F-4291-B69E-A6A19B4377DB}"/>
    <hyperlink ref="B22" r:id="rId19" xr:uid="{46A804CE-B6C1-4AF3-B7D5-5E51871BDEB7}"/>
    <hyperlink ref="B23" r:id="rId20" xr:uid="{87751D44-2DFC-45C9-91DB-0C11C6607E02}"/>
    <hyperlink ref="B24" r:id="rId21" xr:uid="{D31F668E-E317-478F-94AF-6FBC941ED8D4}"/>
    <hyperlink ref="B25" r:id="rId22" xr:uid="{A46E28F6-9325-471E-83CD-8A991AC3FDA9}"/>
    <hyperlink ref="B26" r:id="rId23" xr:uid="{44B47326-3B56-4380-826D-1E375E12862F}"/>
    <hyperlink ref="B27" r:id="rId24" xr:uid="{EA8E11CA-571E-44E4-8B68-FB91E72950F5}"/>
    <hyperlink ref="B28" r:id="rId25" xr:uid="{11E94335-E8B2-4A44-A2B7-288F5D978130}"/>
    <hyperlink ref="B29" r:id="rId26" xr:uid="{8ECEF542-010B-47F4-A287-2C151A8EAA8C}"/>
    <hyperlink ref="B30" r:id="rId27" xr:uid="{C7C7CF4A-6FF3-4580-A3AD-5EBCB11926F7}"/>
    <hyperlink ref="B31" r:id="rId28" xr:uid="{8BB5BD4E-9245-4677-ADCB-77B38FB78B6D}"/>
    <hyperlink ref="B32" r:id="rId29" xr:uid="{B3BB87CD-5CFC-4AFE-B8BF-11E1B66FF9C9}"/>
    <hyperlink ref="B33" r:id="rId30" xr:uid="{6E09E67B-CA29-48CA-90E7-064B5534EE04}"/>
    <hyperlink ref="B34" r:id="rId31" xr:uid="{5C0BA403-BCAE-4154-A152-3DA08EEE1E95}"/>
    <hyperlink ref="B35" r:id="rId32" xr:uid="{89538CEA-8674-4E5B-B4AF-5E7770911406}"/>
    <hyperlink ref="B36" r:id="rId33" xr:uid="{04DF188A-E5F6-4484-9D45-E9A27C47F0F6}"/>
    <hyperlink ref="B37" r:id="rId34" xr:uid="{FC17E5C1-B593-4C9D-B447-20EA68636FC1}"/>
    <hyperlink ref="B38" r:id="rId35" xr:uid="{6F9BE045-DA77-4F18-AEE6-D818DC561CEC}"/>
    <hyperlink ref="B39" r:id="rId36" xr:uid="{A86EFE1D-3730-4B39-A8EB-04F2EA2E1465}"/>
    <hyperlink ref="B40" r:id="rId37" xr:uid="{360A61D9-2A23-44CF-AA92-D3ECE85741CD}"/>
    <hyperlink ref="B41" r:id="rId38" xr:uid="{F9CF1B6D-B739-4219-9EE3-F54AD85C2213}"/>
    <hyperlink ref="B42" r:id="rId39" xr:uid="{8C21B39E-FBA1-4FCE-AC52-05191017874B}"/>
    <hyperlink ref="B43" r:id="rId40" xr:uid="{981CA48A-0A3B-42B6-8F4D-099BA802CEE3}"/>
    <hyperlink ref="B44" r:id="rId41" xr:uid="{C99172A3-0741-42C2-AE01-D22680319752}"/>
    <hyperlink ref="B45" r:id="rId42" xr:uid="{2D79B6F1-D05A-4B6B-8504-9255BFB1C7E9}"/>
    <hyperlink ref="B46" r:id="rId43" xr:uid="{E9F17655-4EDD-4306-B7F6-EE0E4C8E795E}"/>
    <hyperlink ref="B47" r:id="rId44" xr:uid="{B65AC158-2132-471B-8C5D-21B6E2780803}"/>
    <hyperlink ref="B48" r:id="rId45" xr:uid="{6609C902-9D0A-4B45-8E80-4EF7EE21F143}"/>
    <hyperlink ref="B49" r:id="rId46" xr:uid="{C1B3E043-00B9-4D94-AEFF-A2385342F635}"/>
    <hyperlink ref="B50" r:id="rId47" xr:uid="{3D22C4D3-4AB6-4897-9F37-EA54DE14322E}"/>
    <hyperlink ref="B51" r:id="rId48" xr:uid="{C1C9B31B-CA3E-4C52-9EC9-D727220A0997}"/>
    <hyperlink ref="B52" r:id="rId49" xr:uid="{2F9DE5DC-6016-4CF2-9B02-E8501A835850}"/>
    <hyperlink ref="B53" r:id="rId50" xr:uid="{F7840D00-A3CD-41B7-87C4-C9ACC890504A}"/>
    <hyperlink ref="B54" r:id="rId51" xr:uid="{591F8647-FD6E-4318-8C1E-2521C4CA1C64}"/>
    <hyperlink ref="B55" r:id="rId52" xr:uid="{84D5B0BC-07A5-4C09-8327-A77B650ABC43}"/>
    <hyperlink ref="B56" r:id="rId53" xr:uid="{9B3DABA3-2F7A-402B-8F1F-A052C878E198}"/>
    <hyperlink ref="B57" r:id="rId54" xr:uid="{A9A4CC78-8962-48C6-83A9-1A2C3A4FDB4B}"/>
    <hyperlink ref="B58" r:id="rId55" xr:uid="{CB55D308-413D-455A-AE26-B6C05229AE3D}"/>
    <hyperlink ref="B59" r:id="rId56" xr:uid="{8A214C0D-60E1-4853-9290-E78E14EAA86E}"/>
    <hyperlink ref="B60" r:id="rId57" xr:uid="{BE709849-71E4-461B-8FA3-640DFEB97E15}"/>
    <hyperlink ref="B61" r:id="rId58" xr:uid="{792BB1AE-0B17-45E4-A576-DDC25AD221B6}"/>
    <hyperlink ref="B62" r:id="rId59" xr:uid="{6417224F-E009-48E4-AC1A-66A510A01797}"/>
    <hyperlink ref="B63" r:id="rId60" xr:uid="{F7017FAF-F573-45B5-A8FC-4B727156CD06}"/>
    <hyperlink ref="B64" r:id="rId61" xr:uid="{C3036D19-423E-4EEE-8CC6-87A9D38CBD38}"/>
    <hyperlink ref="B65" r:id="rId62" xr:uid="{9C13C7F8-79B3-494F-953A-CC483082D8C5}"/>
    <hyperlink ref="B66" r:id="rId63" xr:uid="{CCB8E98F-7B42-4714-A432-343BA5F74443}"/>
    <hyperlink ref="B67" r:id="rId64" xr:uid="{AF363A4A-3CAA-48D3-9603-71F7DE1C1AD7}"/>
    <hyperlink ref="B68" r:id="rId65" xr:uid="{3D49B1A3-F51F-4309-8C5C-ADC91F1E8656}"/>
    <hyperlink ref="B69" r:id="rId66" xr:uid="{2A00995B-15F5-401A-8D98-F8B8DDC18E57}"/>
    <hyperlink ref="B70" r:id="rId67" xr:uid="{99B26D12-4C38-4377-9CB3-75D0E23079EA}"/>
    <hyperlink ref="B71" r:id="rId68" xr:uid="{2658411B-280C-473A-A9FC-3A32B18F1E6B}"/>
    <hyperlink ref="B72" r:id="rId69" xr:uid="{EFF85CF8-0681-4246-90BE-29BA874FA6C3}"/>
    <hyperlink ref="B73" r:id="rId70" xr:uid="{FA2C1142-D793-462F-B21B-9FF0A8733346}"/>
    <hyperlink ref="B74" r:id="rId71" xr:uid="{0678AD69-7B98-4AC7-978D-8F84817642E2}"/>
    <hyperlink ref="B75" r:id="rId72" xr:uid="{30F7AEDC-50FF-48AA-B6D6-1F0D710A70D0}"/>
    <hyperlink ref="B76" r:id="rId73" xr:uid="{5F0C810A-EFA8-4F48-B6C5-EDC6678695A1}"/>
    <hyperlink ref="B77" r:id="rId74" xr:uid="{DCD5DF86-A253-4B79-9E1F-1790C39B0648}"/>
    <hyperlink ref="B78" r:id="rId75" xr:uid="{C9A33FAF-8124-49C1-87DB-DFB204E72ED5}"/>
    <hyperlink ref="B79" r:id="rId76" xr:uid="{7312E33F-C2FB-4170-9A1D-1C8F4E05F0BF}"/>
    <hyperlink ref="B80" r:id="rId77" xr:uid="{6665586C-930C-4B61-A68E-429A2B86CD4C}"/>
    <hyperlink ref="B81" r:id="rId78" xr:uid="{93E246AD-3F6A-4C35-B5FA-80386B35212B}"/>
    <hyperlink ref="B82" r:id="rId79" xr:uid="{F6F84EA5-2F3C-4059-944C-94AA48B941BF}"/>
    <hyperlink ref="B83" r:id="rId80" xr:uid="{6A283902-A482-4D60-9398-BCE90D547802}"/>
    <hyperlink ref="B84" r:id="rId81" xr:uid="{1119F0EC-6DE2-4F9E-8300-A67E1B121B1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9937-19E5-4EA4-AC7D-078909CC3321}">
  <dimension ref="A1:I52"/>
  <sheetViews>
    <sheetView topLeftCell="B1" workbookViewId="0">
      <selection activeCell="E42" sqref="E42"/>
    </sheetView>
  </sheetViews>
  <sheetFormatPr defaultRowHeight="15"/>
  <cols>
    <col min="1" max="1" width="32.28515625" customWidth="1"/>
    <col min="2" max="2" width="77.42578125" customWidth="1"/>
    <col min="3" max="3" width="16.28515625" customWidth="1"/>
    <col min="4" max="4" width="10.42578125" customWidth="1"/>
    <col min="5" max="5" width="11.7109375" customWidth="1"/>
    <col min="6" max="6" width="10.85546875" customWidth="1"/>
    <col min="8" max="8" width="140.140625" customWidth="1"/>
    <col min="9" max="9" width="19.7109375" customWidth="1"/>
  </cols>
  <sheetData>
    <row r="1" spans="1:9" s="1" customFormat="1">
      <c r="A1" s="1" t="s">
        <v>301</v>
      </c>
      <c r="B1" s="1" t="s">
        <v>1</v>
      </c>
      <c r="C1" s="1" t="s">
        <v>302</v>
      </c>
      <c r="D1" s="1" t="s">
        <v>303</v>
      </c>
      <c r="E1" s="1" t="s">
        <v>304</v>
      </c>
      <c r="F1" s="1" t="s">
        <v>305</v>
      </c>
      <c r="H1" s="1" t="s">
        <v>306</v>
      </c>
      <c r="I1" s="1" t="s">
        <v>307</v>
      </c>
    </row>
    <row r="3" spans="1:9">
      <c r="B3" s="2" t="s">
        <v>21</v>
      </c>
      <c r="C3">
        <v>1</v>
      </c>
      <c r="D3">
        <v>1</v>
      </c>
      <c r="E3">
        <v>1</v>
      </c>
      <c r="F3">
        <v>1</v>
      </c>
      <c r="H3" t="s">
        <v>308</v>
      </c>
      <c r="I3" t="s">
        <v>309</v>
      </c>
    </row>
    <row r="4" spans="1:9">
      <c r="B4" s="2" t="s">
        <v>24</v>
      </c>
      <c r="C4">
        <v>1</v>
      </c>
      <c r="D4">
        <v>0</v>
      </c>
      <c r="E4">
        <v>1</v>
      </c>
      <c r="F4">
        <v>0</v>
      </c>
      <c r="H4" t="s">
        <v>310</v>
      </c>
    </row>
    <row r="5" spans="1:9">
      <c r="B5" s="2" t="s">
        <v>311</v>
      </c>
      <c r="C5">
        <v>1</v>
      </c>
      <c r="D5">
        <v>1</v>
      </c>
      <c r="E5">
        <v>0</v>
      </c>
      <c r="F5">
        <v>0</v>
      </c>
    </row>
    <row r="6" spans="1:9">
      <c r="B6" s="2" t="s">
        <v>312</v>
      </c>
      <c r="C6">
        <v>1</v>
      </c>
      <c r="D6">
        <v>1</v>
      </c>
      <c r="E6">
        <v>1</v>
      </c>
      <c r="F6">
        <v>1</v>
      </c>
      <c r="H6" t="s">
        <v>308</v>
      </c>
      <c r="I6" t="s">
        <v>313</v>
      </c>
    </row>
    <row r="7" spans="1:9">
      <c r="B7" s="2" t="s">
        <v>314</v>
      </c>
      <c r="C7">
        <v>1</v>
      </c>
      <c r="D7">
        <v>1</v>
      </c>
      <c r="E7">
        <v>1</v>
      </c>
      <c r="F7">
        <v>1</v>
      </c>
      <c r="H7" t="s">
        <v>315</v>
      </c>
      <c r="I7" t="s">
        <v>316</v>
      </c>
    </row>
    <row r="8" spans="1:9">
      <c r="B8" s="2" t="s">
        <v>317</v>
      </c>
      <c r="C8">
        <v>1</v>
      </c>
      <c r="D8">
        <v>1</v>
      </c>
      <c r="E8">
        <v>1</v>
      </c>
      <c r="F8">
        <v>1</v>
      </c>
      <c r="H8" t="s">
        <v>308</v>
      </c>
      <c r="I8" t="s">
        <v>318</v>
      </c>
    </row>
    <row r="9" spans="1:9">
      <c r="B9" s="2" t="s">
        <v>319</v>
      </c>
      <c r="C9">
        <v>1</v>
      </c>
      <c r="D9">
        <v>1</v>
      </c>
      <c r="E9">
        <v>1</v>
      </c>
      <c r="F9">
        <v>1</v>
      </c>
      <c r="H9" t="s">
        <v>320</v>
      </c>
      <c r="I9" t="s">
        <v>321</v>
      </c>
    </row>
    <row r="10" spans="1:9">
      <c r="B10" s="2" t="s">
        <v>51</v>
      </c>
      <c r="C10">
        <v>1</v>
      </c>
      <c r="D10">
        <v>0</v>
      </c>
      <c r="E10">
        <v>1</v>
      </c>
      <c r="F10">
        <v>1</v>
      </c>
      <c r="H10" t="s">
        <v>322</v>
      </c>
      <c r="I10" t="s">
        <v>323</v>
      </c>
    </row>
    <row r="11" spans="1:9">
      <c r="B11" s="2" t="s">
        <v>53</v>
      </c>
      <c r="C11">
        <v>0</v>
      </c>
      <c r="D11">
        <v>1</v>
      </c>
      <c r="E11">
        <v>1</v>
      </c>
      <c r="F11">
        <v>0</v>
      </c>
      <c r="H11" t="s">
        <v>324</v>
      </c>
    </row>
    <row r="12" spans="1:9">
      <c r="B12" s="2" t="s">
        <v>325</v>
      </c>
      <c r="C12">
        <v>0</v>
      </c>
      <c r="D12">
        <v>1</v>
      </c>
      <c r="E12">
        <v>1</v>
      </c>
      <c r="F12">
        <v>0</v>
      </c>
      <c r="H12" t="s">
        <v>326</v>
      </c>
    </row>
    <row r="13" spans="1:9">
      <c r="B13" s="2" t="s">
        <v>327</v>
      </c>
      <c r="C13">
        <v>1</v>
      </c>
      <c r="D13">
        <v>0</v>
      </c>
      <c r="E13">
        <v>1</v>
      </c>
      <c r="F13">
        <v>1</v>
      </c>
      <c r="H13" t="s">
        <v>328</v>
      </c>
      <c r="I13" t="s">
        <v>329</v>
      </c>
    </row>
    <row r="14" spans="1:9">
      <c r="B14" s="2" t="s">
        <v>330</v>
      </c>
      <c r="C14">
        <v>0</v>
      </c>
      <c r="D14">
        <v>1</v>
      </c>
      <c r="E14">
        <v>1</v>
      </c>
      <c r="F14">
        <v>1</v>
      </c>
      <c r="H14" t="s">
        <v>331</v>
      </c>
      <c r="I14" t="s">
        <v>332</v>
      </c>
    </row>
    <row r="15" spans="1:9">
      <c r="B15" s="2" t="s">
        <v>333</v>
      </c>
      <c r="C15">
        <v>1</v>
      </c>
      <c r="D15">
        <v>1</v>
      </c>
      <c r="E15">
        <v>1</v>
      </c>
      <c r="F15">
        <v>1</v>
      </c>
      <c r="H15" t="s">
        <v>334</v>
      </c>
      <c r="I15" t="s">
        <v>335</v>
      </c>
    </row>
    <row r="16" spans="1:9">
      <c r="B16" s="2" t="s">
        <v>336</v>
      </c>
      <c r="C16">
        <v>0</v>
      </c>
      <c r="D16">
        <v>1</v>
      </c>
      <c r="E16">
        <v>0</v>
      </c>
      <c r="F16">
        <v>0</v>
      </c>
    </row>
    <row r="17" spans="1:9">
      <c r="A17" s="8"/>
      <c r="B17" s="2" t="s">
        <v>337</v>
      </c>
      <c r="E17">
        <v>1</v>
      </c>
      <c r="H17" t="s">
        <v>338</v>
      </c>
    </row>
    <row r="18" spans="1:9">
      <c r="B18" s="2" t="s">
        <v>339</v>
      </c>
      <c r="C18">
        <v>1</v>
      </c>
      <c r="D18">
        <v>1</v>
      </c>
      <c r="E18">
        <v>0</v>
      </c>
      <c r="F18">
        <v>1</v>
      </c>
      <c r="I18" t="s">
        <v>313</v>
      </c>
    </row>
    <row r="19" spans="1:9">
      <c r="B19" s="2" t="s">
        <v>340</v>
      </c>
      <c r="C19">
        <v>1</v>
      </c>
      <c r="D19">
        <v>1</v>
      </c>
      <c r="E19">
        <v>0</v>
      </c>
      <c r="F19">
        <v>0</v>
      </c>
    </row>
    <row r="20" spans="1:9">
      <c r="B20" s="2" t="s">
        <v>341</v>
      </c>
      <c r="C20">
        <v>1</v>
      </c>
      <c r="D20">
        <v>0</v>
      </c>
      <c r="E20">
        <v>1</v>
      </c>
      <c r="F20">
        <v>1</v>
      </c>
      <c r="H20" t="s">
        <v>342</v>
      </c>
      <c r="I20" t="s">
        <v>313</v>
      </c>
    </row>
    <row r="21" spans="1:9">
      <c r="A21" s="2"/>
      <c r="B21" s="2" t="s">
        <v>343</v>
      </c>
      <c r="C21">
        <v>1</v>
      </c>
      <c r="D21">
        <v>1</v>
      </c>
      <c r="E21">
        <v>1</v>
      </c>
      <c r="F21">
        <v>1</v>
      </c>
      <c r="H21" t="s">
        <v>344</v>
      </c>
      <c r="I21" t="s">
        <v>313</v>
      </c>
    </row>
    <row r="22" spans="1:9">
      <c r="B22" s="2" t="s">
        <v>259</v>
      </c>
      <c r="C22">
        <v>1</v>
      </c>
      <c r="D22">
        <v>1</v>
      </c>
      <c r="E22">
        <v>1</v>
      </c>
      <c r="F22">
        <v>1</v>
      </c>
      <c r="H22" t="s">
        <v>345</v>
      </c>
      <c r="I22" s="9" t="s">
        <v>346</v>
      </c>
    </row>
    <row r="23" spans="1:9">
      <c r="B23" s="2" t="s">
        <v>347</v>
      </c>
      <c r="C23">
        <v>1</v>
      </c>
      <c r="D23">
        <v>1</v>
      </c>
      <c r="E23">
        <v>1</v>
      </c>
      <c r="F23">
        <v>1</v>
      </c>
      <c r="H23" t="s">
        <v>348</v>
      </c>
      <c r="I23" t="s">
        <v>349</v>
      </c>
    </row>
    <row r="24" spans="1:9">
      <c r="B24" s="2" t="s">
        <v>350</v>
      </c>
      <c r="C24">
        <v>1</v>
      </c>
      <c r="D24">
        <v>1</v>
      </c>
      <c r="E24">
        <v>1</v>
      </c>
      <c r="F24">
        <v>0</v>
      </c>
      <c r="H24" t="s">
        <v>351</v>
      </c>
    </row>
    <row r="25" spans="1:9">
      <c r="B25" s="2" t="s">
        <v>352</v>
      </c>
      <c r="C25">
        <v>1</v>
      </c>
      <c r="D25">
        <v>1</v>
      </c>
      <c r="E25">
        <v>1</v>
      </c>
      <c r="F25">
        <v>1</v>
      </c>
      <c r="H25" t="s">
        <v>353</v>
      </c>
      <c r="I25" t="s">
        <v>354</v>
      </c>
    </row>
    <row r="26" spans="1:9">
      <c r="B26" s="2" t="s">
        <v>355</v>
      </c>
      <c r="C26">
        <v>0</v>
      </c>
      <c r="D26">
        <v>1</v>
      </c>
      <c r="E26">
        <v>0</v>
      </c>
      <c r="F26">
        <v>0</v>
      </c>
      <c r="H26" t="s">
        <v>356</v>
      </c>
    </row>
    <row r="27" spans="1:9">
      <c r="B27" s="2" t="s">
        <v>357</v>
      </c>
      <c r="C27">
        <v>1</v>
      </c>
      <c r="D27">
        <v>1</v>
      </c>
      <c r="E27">
        <v>1</v>
      </c>
      <c r="F27">
        <v>1</v>
      </c>
      <c r="H27" t="s">
        <v>358</v>
      </c>
      <c r="I27" t="s">
        <v>359</v>
      </c>
    </row>
    <row r="28" spans="1:9">
      <c r="B28" s="2" t="s">
        <v>360</v>
      </c>
      <c r="C28">
        <v>1</v>
      </c>
      <c r="D28">
        <v>1</v>
      </c>
      <c r="E28">
        <v>0</v>
      </c>
      <c r="F28">
        <v>1</v>
      </c>
      <c r="I28" t="s">
        <v>361</v>
      </c>
    </row>
    <row r="29" spans="1:9">
      <c r="B29" s="2" t="s">
        <v>362</v>
      </c>
      <c r="C29">
        <v>0</v>
      </c>
      <c r="D29">
        <v>1</v>
      </c>
      <c r="E29">
        <v>0</v>
      </c>
      <c r="F29">
        <v>0</v>
      </c>
    </row>
    <row r="30" spans="1:9">
      <c r="B30" s="2" t="s">
        <v>363</v>
      </c>
      <c r="C30">
        <v>0</v>
      </c>
      <c r="D30">
        <v>1</v>
      </c>
      <c r="E30">
        <v>0</v>
      </c>
      <c r="F30">
        <v>0</v>
      </c>
    </row>
    <row r="31" spans="1:9">
      <c r="B31" s="2" t="s">
        <v>364</v>
      </c>
      <c r="C31">
        <v>0</v>
      </c>
      <c r="D31">
        <v>1</v>
      </c>
      <c r="E31">
        <v>1</v>
      </c>
      <c r="F31">
        <v>1</v>
      </c>
      <c r="H31" t="s">
        <v>351</v>
      </c>
      <c r="I31" t="s">
        <v>365</v>
      </c>
    </row>
    <row r="32" spans="1:9">
      <c r="B32" s="2" t="s">
        <v>366</v>
      </c>
      <c r="C32">
        <v>0</v>
      </c>
      <c r="D32">
        <v>1</v>
      </c>
      <c r="E32">
        <v>0</v>
      </c>
      <c r="F32">
        <v>0</v>
      </c>
    </row>
    <row r="33" spans="2:9">
      <c r="B33" s="2" t="s">
        <v>367</v>
      </c>
      <c r="C33">
        <v>0</v>
      </c>
      <c r="D33">
        <v>1</v>
      </c>
      <c r="E33">
        <v>1</v>
      </c>
      <c r="F33">
        <v>1</v>
      </c>
      <c r="H33" t="s">
        <v>342</v>
      </c>
      <c r="I33" t="s">
        <v>368</v>
      </c>
    </row>
    <row r="52" spans="8:8">
      <c r="H52" t="s">
        <v>369</v>
      </c>
    </row>
  </sheetData>
  <hyperlinks>
    <hyperlink ref="B3" r:id="rId1" xr:uid="{202139BB-EBDB-418E-BA94-A707EF966C85}"/>
    <hyperlink ref="B4" r:id="rId2" xr:uid="{BE4EFBE6-47A0-48CF-8533-27ABE30585C8}"/>
    <hyperlink ref="B5" r:id="rId3" xr:uid="{18DA9F89-4751-4D87-9E86-3E1D4EECD0BB}"/>
    <hyperlink ref="B6" r:id="rId4" xr:uid="{3B669EF4-7CB2-41D9-806C-9896B878EFFB}"/>
    <hyperlink ref="B7" r:id="rId5" xr:uid="{AB8068AC-1040-41FA-97AE-C0479478E3EB}"/>
    <hyperlink ref="B8" r:id="rId6" xr:uid="{3F1BE4F7-62AE-4AD3-BA9A-5B539DD4F950}"/>
    <hyperlink ref="B9" r:id="rId7" xr:uid="{2DDA06CB-93CE-47A8-884D-356CEE23F7BA}"/>
    <hyperlink ref="B10" r:id="rId8" xr:uid="{5F99652D-A0AC-4593-847C-8053759F0CE8}"/>
    <hyperlink ref="B11" r:id="rId9" xr:uid="{980A79EA-5BF3-4616-BF9E-F8E1374D9054}"/>
    <hyperlink ref="B12" r:id="rId10" xr:uid="{CEFB46E8-A6B8-41F8-BD4A-A73E006CD7C2}"/>
    <hyperlink ref="B13" r:id="rId11" xr:uid="{6AB4FA28-9946-42B4-875E-B771C8865B1D}"/>
    <hyperlink ref="B14" r:id="rId12" xr:uid="{69C6836E-E6BA-489B-A942-B64C93FF51CD}"/>
    <hyperlink ref="B15" r:id="rId13" xr:uid="{50E3E56B-0ADC-4D06-B4EA-C895AB4F4978}"/>
    <hyperlink ref="B16" r:id="rId14" xr:uid="{A2B308A7-F565-48C9-A2DF-4670AFE65D82}"/>
    <hyperlink ref="B17" r:id="rId15" xr:uid="{2D98C36E-CCEB-4C06-A34C-0CCBA5143FC3}"/>
    <hyperlink ref="B18" r:id="rId16" xr:uid="{A39D95FE-8CB6-4E03-BB95-01CA162075D0}"/>
    <hyperlink ref="B19" r:id="rId17" xr:uid="{0048CBA9-1688-4A9A-91C6-194B7695D312}"/>
    <hyperlink ref="B20" r:id="rId18" xr:uid="{34EBA688-27E9-4CE0-BD97-C466D860139B}"/>
    <hyperlink ref="B21" r:id="rId19" xr:uid="{2A1C2DB0-5CE6-4CF5-BCE2-3519FC348DE0}"/>
    <hyperlink ref="B22" r:id="rId20" xr:uid="{FB8EC00A-9AB0-4FF2-99E0-F0DC5F186BF0}"/>
    <hyperlink ref="B23" r:id="rId21" xr:uid="{1E4E7798-2CA0-4DE4-A7D0-85059BF1956A}"/>
    <hyperlink ref="B24" r:id="rId22" xr:uid="{0D7DA590-02C0-44EF-BA17-8B2EA10285E6}"/>
    <hyperlink ref="B25" r:id="rId23" xr:uid="{68195964-2824-4A53-91DB-67A32106F829}"/>
    <hyperlink ref="B26" r:id="rId24" xr:uid="{ADF883D0-101D-42FC-AA17-BFD3951BEC7C}"/>
    <hyperlink ref="B27" r:id="rId25" xr:uid="{DAB51581-105B-4770-8970-3207793053A9}"/>
    <hyperlink ref="B28" r:id="rId26" xr:uid="{474D5C71-B04E-40E2-B921-C65FCCDD4CF5}"/>
    <hyperlink ref="B29" r:id="rId27" xr:uid="{EF737EE7-078B-4CE2-A96A-C0ACCC8F5B48}"/>
    <hyperlink ref="B30" r:id="rId28" xr:uid="{169D65AC-754E-4C72-95D8-96DFA6C11C8F}"/>
    <hyperlink ref="B31" r:id="rId29" xr:uid="{4627CA0E-2003-4FE3-8B0D-E1B89A50043B}"/>
    <hyperlink ref="B32" r:id="rId30" xr:uid="{22FABCCA-31D7-4299-872D-9CA17C03035D}"/>
    <hyperlink ref="B33" r:id="rId31" xr:uid="{77E785E5-D30E-41C3-A79A-EA978291987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90DB-26AE-4A5F-91BE-539D791F98FA}">
  <dimension ref="A1:I34"/>
  <sheetViews>
    <sheetView workbookViewId="0">
      <selection activeCell="A28" sqref="A28"/>
    </sheetView>
  </sheetViews>
  <sheetFormatPr defaultRowHeight="15"/>
  <cols>
    <col min="1" max="1" width="19.85546875" customWidth="1"/>
    <col min="2" max="2" width="15.42578125" customWidth="1"/>
    <col min="3" max="3" width="17.42578125" customWidth="1"/>
    <col min="4" max="4" width="15.42578125" customWidth="1"/>
    <col min="8" max="8" width="177.28515625" customWidth="1"/>
  </cols>
  <sheetData>
    <row r="1" spans="2:9" s="1" customFormat="1">
      <c r="B1" s="1" t="s">
        <v>1</v>
      </c>
      <c r="C1" s="1" t="s">
        <v>302</v>
      </c>
      <c r="D1" s="1" t="s">
        <v>303</v>
      </c>
      <c r="E1" s="1" t="s">
        <v>304</v>
      </c>
      <c r="F1" s="1" t="s">
        <v>305</v>
      </c>
      <c r="H1" s="1" t="s">
        <v>370</v>
      </c>
      <c r="I1" s="1" t="s">
        <v>371</v>
      </c>
    </row>
    <row r="2" spans="2:9">
      <c r="B2" s="2" t="s">
        <v>6</v>
      </c>
      <c r="C2" s="4" t="b">
        <v>1</v>
      </c>
      <c r="D2" s="4" t="b">
        <v>1</v>
      </c>
      <c r="E2" s="4" t="b">
        <v>1</v>
      </c>
      <c r="F2" s="4" t="b">
        <v>1</v>
      </c>
      <c r="H2" t="s">
        <v>372</v>
      </c>
      <c r="I2" t="s">
        <v>373</v>
      </c>
    </row>
    <row r="3" spans="2:9">
      <c r="B3" s="2" t="s">
        <v>21</v>
      </c>
      <c r="C3" s="4" t="b">
        <v>1</v>
      </c>
      <c r="D3" s="4" t="b">
        <v>1</v>
      </c>
      <c r="E3" s="4" t="b">
        <v>1</v>
      </c>
      <c r="F3" s="4" t="b">
        <v>1</v>
      </c>
      <c r="H3" t="s">
        <v>374</v>
      </c>
      <c r="I3" t="s">
        <v>375</v>
      </c>
    </row>
    <row r="4" spans="2:9">
      <c r="B4" s="2" t="s">
        <v>311</v>
      </c>
      <c r="C4" s="4" t="b">
        <v>1</v>
      </c>
      <c r="D4" s="4" t="b">
        <v>1</v>
      </c>
      <c r="E4" s="4" t="b">
        <v>0</v>
      </c>
      <c r="F4" s="4" t="b">
        <v>0</v>
      </c>
    </row>
    <row r="5" spans="2:9">
      <c r="B5" s="2" t="s">
        <v>312</v>
      </c>
      <c r="C5" s="4" t="b">
        <v>1</v>
      </c>
      <c r="D5" s="4" t="b">
        <v>1</v>
      </c>
      <c r="E5" s="4" t="b">
        <v>1</v>
      </c>
      <c r="F5" s="4" t="b">
        <v>1</v>
      </c>
      <c r="H5" t="s">
        <v>376</v>
      </c>
      <c r="I5" t="s">
        <v>377</v>
      </c>
    </row>
    <row r="6" spans="2:9">
      <c r="B6" s="2" t="s">
        <v>378</v>
      </c>
      <c r="C6" s="4" t="b">
        <v>1</v>
      </c>
      <c r="D6" s="4" t="b">
        <v>1</v>
      </c>
      <c r="E6" s="4" t="b">
        <v>1</v>
      </c>
      <c r="F6" s="4" t="b">
        <v>1</v>
      </c>
      <c r="H6" t="s">
        <v>379</v>
      </c>
      <c r="I6" t="s">
        <v>380</v>
      </c>
    </row>
    <row r="7" spans="2:9">
      <c r="B7" s="2" t="s">
        <v>381</v>
      </c>
      <c r="C7" s="4" t="b">
        <v>1</v>
      </c>
      <c r="D7" s="4" t="b">
        <v>0</v>
      </c>
      <c r="E7" s="4" t="b">
        <v>0</v>
      </c>
      <c r="F7" s="4" t="b">
        <v>0</v>
      </c>
    </row>
    <row r="8" spans="2:9">
      <c r="B8" s="2" t="s">
        <v>330</v>
      </c>
      <c r="C8" s="4" t="b">
        <v>1</v>
      </c>
      <c r="D8" s="4" t="b">
        <v>1</v>
      </c>
      <c r="E8" s="4" t="b">
        <v>1</v>
      </c>
      <c r="F8" s="4" t="b">
        <v>0</v>
      </c>
      <c r="H8" t="s">
        <v>382</v>
      </c>
    </row>
    <row r="9" spans="2:9">
      <c r="B9" s="2" t="s">
        <v>383</v>
      </c>
      <c r="C9" s="4" t="b">
        <v>1</v>
      </c>
      <c r="D9" s="4" t="b">
        <v>1</v>
      </c>
      <c r="E9" s="4" t="b">
        <v>1</v>
      </c>
      <c r="F9" s="4" t="b">
        <v>1</v>
      </c>
      <c r="H9" t="s">
        <v>384</v>
      </c>
      <c r="I9" t="s">
        <v>385</v>
      </c>
    </row>
    <row r="10" spans="2:9">
      <c r="B10" s="2" t="s">
        <v>248</v>
      </c>
      <c r="C10" s="4" t="b">
        <v>1</v>
      </c>
      <c r="D10" s="4" t="b">
        <v>1</v>
      </c>
      <c r="E10" s="4" t="b">
        <v>1</v>
      </c>
      <c r="F10" s="4" t="b">
        <v>1</v>
      </c>
      <c r="H10" t="s">
        <v>386</v>
      </c>
      <c r="I10" t="s">
        <v>387</v>
      </c>
    </row>
    <row r="11" spans="2:9">
      <c r="B11" s="2" t="s">
        <v>388</v>
      </c>
      <c r="C11" s="4" t="b">
        <v>1</v>
      </c>
      <c r="D11" s="4" t="b">
        <v>0</v>
      </c>
      <c r="E11" s="4" t="b">
        <v>1</v>
      </c>
      <c r="F11" s="4" t="b">
        <v>1</v>
      </c>
      <c r="H11" t="s">
        <v>389</v>
      </c>
      <c r="I11" t="s">
        <v>390</v>
      </c>
    </row>
    <row r="12" spans="2:9">
      <c r="B12" s="2" t="s">
        <v>391</v>
      </c>
      <c r="C12" s="4" t="b">
        <v>1</v>
      </c>
      <c r="D12" s="4" t="b">
        <v>1</v>
      </c>
      <c r="E12" s="4" t="b">
        <v>1</v>
      </c>
      <c r="F12" s="4" t="b">
        <v>1</v>
      </c>
      <c r="H12" t="s">
        <v>392</v>
      </c>
      <c r="I12" t="s">
        <v>393</v>
      </c>
    </row>
    <row r="13" spans="2:9">
      <c r="B13" s="2" t="s">
        <v>394</v>
      </c>
      <c r="C13" s="4" t="b">
        <v>1</v>
      </c>
      <c r="D13" s="4" t="b">
        <v>1</v>
      </c>
      <c r="E13" s="4" t="b">
        <v>1</v>
      </c>
      <c r="F13" s="4" t="b">
        <v>1</v>
      </c>
      <c r="H13" t="s">
        <v>395</v>
      </c>
      <c r="I13" t="s">
        <v>396</v>
      </c>
    </row>
    <row r="14" spans="2:9">
      <c r="B14" s="2" t="s">
        <v>397</v>
      </c>
      <c r="C14" s="4" t="b">
        <v>1</v>
      </c>
      <c r="D14" s="4" t="b">
        <v>1</v>
      </c>
      <c r="E14" s="4" t="b">
        <v>1</v>
      </c>
      <c r="F14" s="4" t="b">
        <v>1</v>
      </c>
      <c r="H14" t="s">
        <v>398</v>
      </c>
      <c r="I14" t="s">
        <v>399</v>
      </c>
    </row>
    <row r="15" spans="2:9">
      <c r="B15" s="2" t="s">
        <v>343</v>
      </c>
      <c r="C15" s="4" t="b">
        <v>1</v>
      </c>
      <c r="D15" s="4" t="b">
        <v>1</v>
      </c>
      <c r="E15" s="4" t="b">
        <v>0</v>
      </c>
      <c r="F15" s="4" t="b">
        <v>0</v>
      </c>
    </row>
    <row r="16" spans="2:9">
      <c r="B16" s="2" t="s">
        <v>126</v>
      </c>
      <c r="C16" s="4" t="b">
        <v>1</v>
      </c>
      <c r="D16" s="4" t="b">
        <v>1</v>
      </c>
      <c r="E16" s="4" t="b">
        <v>1</v>
      </c>
      <c r="F16" s="4" t="b">
        <v>1</v>
      </c>
      <c r="H16" t="s">
        <v>400</v>
      </c>
      <c r="I16" t="s">
        <v>401</v>
      </c>
    </row>
    <row r="17" spans="1:9">
      <c r="B17" s="2" t="s">
        <v>363</v>
      </c>
      <c r="C17" s="4" t="b">
        <v>1</v>
      </c>
      <c r="D17" s="4" t="b">
        <v>1</v>
      </c>
      <c r="E17" s="4" t="b">
        <v>1</v>
      </c>
      <c r="F17" s="4" t="b">
        <v>1</v>
      </c>
      <c r="H17" t="s">
        <v>402</v>
      </c>
      <c r="I17" t="s">
        <v>403</v>
      </c>
    </row>
    <row r="18" spans="1:9">
      <c r="B18" s="2" t="s">
        <v>404</v>
      </c>
      <c r="C18" s="4" t="b">
        <v>1</v>
      </c>
      <c r="D18" s="4" t="b">
        <v>1</v>
      </c>
      <c r="E18" s="4" t="b">
        <v>1</v>
      </c>
      <c r="F18" s="4" t="b">
        <v>1</v>
      </c>
      <c r="H18" t="s">
        <v>405</v>
      </c>
      <c r="I18" t="s">
        <v>406</v>
      </c>
    </row>
    <row r="19" spans="1:9">
      <c r="B19" s="2" t="s">
        <v>407</v>
      </c>
      <c r="C19" s="4" t="b">
        <v>1</v>
      </c>
      <c r="D19" s="4" t="b">
        <v>1</v>
      </c>
      <c r="E19" s="4" t="b">
        <v>1</v>
      </c>
      <c r="F19" s="4" t="b">
        <v>0</v>
      </c>
      <c r="H19" s="10" t="s">
        <v>408</v>
      </c>
    </row>
    <row r="20" spans="1:9">
      <c r="B20" s="2" t="s">
        <v>367</v>
      </c>
      <c r="C20" s="4" t="b">
        <v>1</v>
      </c>
      <c r="D20" s="4" t="b">
        <v>1</v>
      </c>
      <c r="E20" s="4" t="b">
        <v>0</v>
      </c>
      <c r="F20" s="4" t="b">
        <v>0</v>
      </c>
    </row>
    <row r="21" spans="1:9">
      <c r="B21" s="2" t="s">
        <v>409</v>
      </c>
      <c r="C21" s="4" t="b">
        <v>1</v>
      </c>
      <c r="D21" s="4" t="b">
        <v>1</v>
      </c>
      <c r="E21" s="4" t="b">
        <v>1</v>
      </c>
      <c r="F21" s="4" t="b">
        <v>1</v>
      </c>
      <c r="H21" t="s">
        <v>410</v>
      </c>
      <c r="I21" t="s">
        <v>411</v>
      </c>
    </row>
    <row r="22" spans="1:9">
      <c r="B22" s="2" t="s">
        <v>294</v>
      </c>
      <c r="C22" s="4" t="b">
        <v>1</v>
      </c>
      <c r="D22" s="4" t="b">
        <v>1</v>
      </c>
      <c r="E22" s="4" t="b">
        <v>1</v>
      </c>
      <c r="F22" s="4" t="b">
        <v>1</v>
      </c>
      <c r="H22" t="s">
        <v>412</v>
      </c>
      <c r="I22" t="s">
        <v>413</v>
      </c>
    </row>
    <row r="23" spans="1:9">
      <c r="A23" t="s">
        <v>414</v>
      </c>
      <c r="B23" s="2" t="s">
        <v>24</v>
      </c>
      <c r="C23" s="4" t="b">
        <v>0</v>
      </c>
      <c r="D23" s="4" t="b">
        <v>0</v>
      </c>
      <c r="E23" s="4" t="b">
        <v>1</v>
      </c>
      <c r="F23" s="4" t="b">
        <v>1</v>
      </c>
      <c r="H23" t="s">
        <v>415</v>
      </c>
      <c r="I23" t="s">
        <v>416</v>
      </c>
    </row>
    <row r="24" spans="1:9">
      <c r="B24" s="16"/>
      <c r="C24" s="4" t="b">
        <v>0</v>
      </c>
      <c r="D24" s="4" t="b">
        <v>0</v>
      </c>
      <c r="E24" s="4" t="b">
        <v>0</v>
      </c>
      <c r="F24" s="4" t="b">
        <v>0</v>
      </c>
    </row>
    <row r="25" spans="1:9">
      <c r="C25" s="4" t="b">
        <v>0</v>
      </c>
      <c r="D25" s="4" t="b">
        <v>0</v>
      </c>
      <c r="E25" s="4" t="b">
        <v>0</v>
      </c>
      <c r="F25" s="4" t="b">
        <v>0</v>
      </c>
    </row>
    <row r="26" spans="1:9">
      <c r="C26" s="4" t="b">
        <v>0</v>
      </c>
      <c r="D26" s="4" t="b">
        <v>0</v>
      </c>
      <c r="E26" s="4" t="b">
        <v>0</v>
      </c>
      <c r="F26" s="4" t="b">
        <v>0</v>
      </c>
    </row>
    <row r="27" spans="1:9">
      <c r="B27" s="2" t="s">
        <v>208</v>
      </c>
      <c r="C27" s="4" t="b">
        <v>1</v>
      </c>
      <c r="D27" s="4" t="b">
        <v>1</v>
      </c>
      <c r="E27" s="4" t="b">
        <v>1</v>
      </c>
      <c r="F27" s="4" t="b">
        <v>0</v>
      </c>
      <c r="H27" t="s">
        <v>417</v>
      </c>
    </row>
    <row r="28" spans="1:9">
      <c r="B28" s="2" t="s">
        <v>219</v>
      </c>
      <c r="C28" s="4" t="b">
        <v>1</v>
      </c>
      <c r="D28" s="4" t="b">
        <v>1</v>
      </c>
      <c r="E28" s="4" t="b">
        <v>1</v>
      </c>
      <c r="F28" s="4" t="b">
        <v>1</v>
      </c>
      <c r="H28" t="s">
        <v>405</v>
      </c>
      <c r="I28" s="10" t="s">
        <v>418</v>
      </c>
    </row>
    <row r="29" spans="1:9">
      <c r="C29" s="4" t="b">
        <v>0</v>
      </c>
      <c r="D29" s="4" t="b">
        <v>0</v>
      </c>
      <c r="E29" s="4" t="b">
        <v>0</v>
      </c>
      <c r="F29" s="4" t="b">
        <v>0</v>
      </c>
    </row>
    <row r="30" spans="1:9">
      <c r="C30" s="4" t="b">
        <v>0</v>
      </c>
      <c r="D30" s="4" t="b">
        <v>0</v>
      </c>
      <c r="E30" s="4" t="b">
        <v>0</v>
      </c>
      <c r="F30" s="4" t="b">
        <v>0</v>
      </c>
    </row>
    <row r="31" spans="1:9">
      <c r="C31" s="4" t="b">
        <v>0</v>
      </c>
      <c r="D31" s="4" t="b">
        <v>0</v>
      </c>
      <c r="E31" s="4" t="b">
        <v>0</v>
      </c>
      <c r="F31" s="4" t="b">
        <v>0</v>
      </c>
    </row>
    <row r="32" spans="1:9">
      <c r="C32" s="4" t="b">
        <v>0</v>
      </c>
      <c r="D32" s="4" t="b">
        <v>0</v>
      </c>
      <c r="E32" s="4" t="b">
        <v>0</v>
      </c>
      <c r="F32" s="4" t="b">
        <v>0</v>
      </c>
    </row>
    <row r="33" spans="3:6">
      <c r="C33" s="4" t="b">
        <v>0</v>
      </c>
      <c r="D33" s="4" t="b">
        <v>0</v>
      </c>
      <c r="E33" s="4" t="b">
        <v>0</v>
      </c>
      <c r="F33" s="4" t="b">
        <v>0</v>
      </c>
    </row>
    <row r="34" spans="3:6">
      <c r="C34" s="4" t="b">
        <v>0</v>
      </c>
      <c r="D34" s="4" t="b">
        <v>0</v>
      </c>
      <c r="E34" s="4" t="b">
        <v>0</v>
      </c>
      <c r="F34" s="4" t="b">
        <v>0</v>
      </c>
    </row>
  </sheetData>
  <hyperlinks>
    <hyperlink ref="B2" r:id="rId1" xr:uid="{34B20061-CB62-4984-96B7-7FC0F661F951}"/>
    <hyperlink ref="B3" r:id="rId2" xr:uid="{479A8701-D8AD-4AE3-8B8F-4166A19A520F}"/>
    <hyperlink ref="B4" r:id="rId3" xr:uid="{0B3DCA28-26E8-40E9-8947-6F7139E66D02}"/>
    <hyperlink ref="B5" r:id="rId4" xr:uid="{C04C5B81-E91A-4D9D-81F1-2892372FD648}"/>
    <hyperlink ref="B6" r:id="rId5" xr:uid="{4877E14A-50AF-4862-9116-E31FC9F773BF}"/>
    <hyperlink ref="B7" r:id="rId6" xr:uid="{C390564C-A177-41CC-B0A7-295910C1B3BB}"/>
    <hyperlink ref="B8" r:id="rId7" xr:uid="{DB3A946B-4CC0-43A0-A241-2427FB5F6D31}"/>
    <hyperlink ref="B9" r:id="rId8" xr:uid="{D83CEEBC-4995-45A3-8303-890F1BCB710D}"/>
    <hyperlink ref="B10" r:id="rId9" xr:uid="{CE7F3872-C8F7-48E6-BA24-66076F1715DF}"/>
    <hyperlink ref="B11" r:id="rId10" xr:uid="{93DD48CC-FC0C-443B-9BF7-0DBD9E92A758}"/>
    <hyperlink ref="B12" r:id="rId11" xr:uid="{1124EEDA-4912-478D-98FA-3C79EEFDF33B}"/>
    <hyperlink ref="B13" r:id="rId12" xr:uid="{9FAD316C-6AE5-4CD3-B235-BC933A4CF4B4}"/>
    <hyperlink ref="B14" r:id="rId13" xr:uid="{D75D396B-CF4B-4893-8764-B2FD9CDA4A19}"/>
    <hyperlink ref="B15" r:id="rId14" xr:uid="{23E49943-4479-412F-B008-65E28A6AB6F7}"/>
    <hyperlink ref="B16" r:id="rId15" xr:uid="{0A86D9F1-64EC-4294-90BA-CE4CA683147B}"/>
    <hyperlink ref="B17" r:id="rId16" xr:uid="{0F8FCD16-EB37-4EC8-A257-D42A3B2AE95A}"/>
    <hyperlink ref="B18" r:id="rId17" xr:uid="{D82BA4D6-B300-4AB4-9F2C-921214967F42}"/>
    <hyperlink ref="B19" r:id="rId18" xr:uid="{8CE2E31D-52BC-4B4B-A2CD-D9C0883C052C}"/>
    <hyperlink ref="B20" r:id="rId19" xr:uid="{49B3116D-B232-43E7-8F2A-58672A657842}"/>
    <hyperlink ref="B21" r:id="rId20" xr:uid="{BF251F1E-FDB3-407B-A2B7-861B16738670}"/>
    <hyperlink ref="B22" r:id="rId21" xr:uid="{DAC2C1FE-D017-4612-AEFC-45A390629C11}"/>
    <hyperlink ref="B23" r:id="rId22" xr:uid="{1B79C018-BF40-4A51-BE53-CAD0746A5EE5}"/>
    <hyperlink ref="B27" r:id="rId23" xr:uid="{510E4CF3-38E2-4A2C-A96E-FDD5E29A4DE8}"/>
    <hyperlink ref="B28" r:id="rId24" xr:uid="{6E121FC6-A4FB-4FFD-A7CA-E1B826CD087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CC3D7-D241-4D53-8BD7-4319BCE9BEE0}">
  <dimension ref="B1:H35"/>
  <sheetViews>
    <sheetView topLeftCell="F1" workbookViewId="0">
      <selection activeCell="K13" sqref="K13"/>
    </sheetView>
  </sheetViews>
  <sheetFormatPr defaultRowHeight="15"/>
  <cols>
    <col min="3" max="3" width="12.85546875" customWidth="1"/>
    <col min="4" max="6" width="13.28515625" customWidth="1"/>
    <col min="7" max="7" width="129.28515625" customWidth="1"/>
  </cols>
  <sheetData>
    <row r="1" spans="2:8" s="1" customFormat="1">
      <c r="B1" s="1" t="s">
        <v>419</v>
      </c>
      <c r="C1" s="1" t="s">
        <v>302</v>
      </c>
      <c r="D1" s="1" t="s">
        <v>303</v>
      </c>
      <c r="E1" s="1" t="s">
        <v>420</v>
      </c>
      <c r="F1" s="1" t="s">
        <v>421</v>
      </c>
      <c r="G1" s="1" t="s">
        <v>422</v>
      </c>
      <c r="H1" s="1" t="s">
        <v>423</v>
      </c>
    </row>
    <row r="2" spans="2:8">
      <c r="B2" s="2" t="s">
        <v>21</v>
      </c>
      <c r="C2" s="4" t="b">
        <v>1</v>
      </c>
      <c r="D2" s="4" t="b">
        <v>1</v>
      </c>
      <c r="E2" s="4" t="b">
        <v>1</v>
      </c>
      <c r="F2" s="4" t="b">
        <v>1</v>
      </c>
      <c r="G2" t="s">
        <v>424</v>
      </c>
      <c r="H2" t="s">
        <v>425</v>
      </c>
    </row>
    <row r="3" spans="2:8">
      <c r="B3" s="2" t="s">
        <v>230</v>
      </c>
      <c r="C3" s="4" t="b">
        <v>1</v>
      </c>
      <c r="D3" s="4" t="b">
        <v>1</v>
      </c>
      <c r="E3" s="4" t="b">
        <v>1</v>
      </c>
      <c r="F3" s="4" t="b">
        <v>0</v>
      </c>
      <c r="G3" t="s">
        <v>426</v>
      </c>
    </row>
    <row r="4" spans="2:8">
      <c r="B4" s="2" t="s">
        <v>311</v>
      </c>
      <c r="C4" s="4" t="b">
        <v>1</v>
      </c>
      <c r="D4" s="4" t="b">
        <v>1</v>
      </c>
      <c r="E4" s="4" t="b">
        <v>0</v>
      </c>
      <c r="F4" s="4" t="b">
        <v>0</v>
      </c>
    </row>
    <row r="5" spans="2:8">
      <c r="B5" s="2" t="s">
        <v>312</v>
      </c>
      <c r="C5" s="4" t="b">
        <v>1</v>
      </c>
      <c r="D5" s="4" t="b">
        <v>1</v>
      </c>
      <c r="E5" s="4" t="b">
        <v>1</v>
      </c>
      <c r="F5" s="4" t="b">
        <v>1</v>
      </c>
      <c r="G5" t="s">
        <v>427</v>
      </c>
      <c r="H5" t="s">
        <v>428</v>
      </c>
    </row>
    <row r="6" spans="2:8">
      <c r="B6" s="2" t="s">
        <v>314</v>
      </c>
      <c r="C6" s="4" t="b">
        <v>1</v>
      </c>
      <c r="D6" s="4" t="b">
        <v>1</v>
      </c>
      <c r="E6" s="4" t="b">
        <v>1</v>
      </c>
      <c r="F6" s="4" t="b">
        <v>1</v>
      </c>
      <c r="G6" t="s">
        <v>429</v>
      </c>
      <c r="H6" t="s">
        <v>430</v>
      </c>
    </row>
    <row r="7" spans="2:8">
      <c r="B7" s="2" t="s">
        <v>317</v>
      </c>
      <c r="C7" s="4" t="b">
        <v>1</v>
      </c>
      <c r="D7" s="4" t="b">
        <v>1</v>
      </c>
      <c r="E7" s="4" t="b">
        <v>1</v>
      </c>
      <c r="F7" s="4" t="b">
        <v>1</v>
      </c>
      <c r="G7" t="s">
        <v>431</v>
      </c>
      <c r="H7" t="s">
        <v>432</v>
      </c>
    </row>
    <row r="8" spans="2:8">
      <c r="B8" s="2" t="s">
        <v>433</v>
      </c>
      <c r="C8" s="4" t="b">
        <v>1</v>
      </c>
      <c r="D8" s="4" t="b">
        <v>1</v>
      </c>
      <c r="E8" s="4" t="b">
        <v>1</v>
      </c>
      <c r="F8" s="4" t="b">
        <v>1</v>
      </c>
      <c r="G8" t="s">
        <v>434</v>
      </c>
      <c r="H8" t="s">
        <v>435</v>
      </c>
    </row>
    <row r="9" spans="2:8">
      <c r="B9" s="2" t="s">
        <v>381</v>
      </c>
      <c r="C9" s="4" t="b">
        <v>1</v>
      </c>
      <c r="D9" s="4" t="b">
        <v>1</v>
      </c>
      <c r="E9" s="4" t="b">
        <v>1</v>
      </c>
      <c r="F9" s="4" t="b">
        <v>1</v>
      </c>
      <c r="G9" t="s">
        <v>436</v>
      </c>
      <c r="H9" t="s">
        <v>437</v>
      </c>
    </row>
    <row r="10" spans="2:8">
      <c r="B10" s="2" t="s">
        <v>51</v>
      </c>
      <c r="C10" s="4" t="b">
        <v>1</v>
      </c>
      <c r="D10" s="4" t="b">
        <v>1</v>
      </c>
      <c r="E10" s="4" t="b">
        <v>1</v>
      </c>
      <c r="F10" s="4" t="b">
        <v>1</v>
      </c>
      <c r="G10" t="s">
        <v>438</v>
      </c>
      <c r="H10" t="s">
        <v>439</v>
      </c>
    </row>
    <row r="11" spans="2:8">
      <c r="B11" s="2" t="s">
        <v>325</v>
      </c>
      <c r="C11" s="4" t="b">
        <v>1</v>
      </c>
      <c r="D11" s="4" t="b">
        <v>1</v>
      </c>
      <c r="E11" s="4" t="b">
        <v>1</v>
      </c>
      <c r="F11" s="4" t="b">
        <v>0</v>
      </c>
      <c r="G11" t="s">
        <v>338</v>
      </c>
    </row>
    <row r="12" spans="2:8">
      <c r="B12" s="2" t="s">
        <v>440</v>
      </c>
      <c r="C12" s="4" t="b">
        <v>1</v>
      </c>
      <c r="D12" s="4" t="b">
        <v>1</v>
      </c>
      <c r="E12" s="4" t="b">
        <v>1</v>
      </c>
      <c r="F12" s="4" t="b">
        <v>1</v>
      </c>
      <c r="G12" t="s">
        <v>441</v>
      </c>
      <c r="H12" t="s">
        <v>442</v>
      </c>
    </row>
    <row r="13" spans="2:8">
      <c r="B13" s="2" t="s">
        <v>443</v>
      </c>
      <c r="C13" s="4" t="b">
        <v>1</v>
      </c>
      <c r="D13" s="4" t="b">
        <v>1</v>
      </c>
      <c r="E13" s="4" t="b">
        <v>1</v>
      </c>
      <c r="F13" s="4" t="b">
        <v>1</v>
      </c>
      <c r="G13" t="s">
        <v>444</v>
      </c>
      <c r="H13" t="s">
        <v>445</v>
      </c>
    </row>
    <row r="14" spans="2:8">
      <c r="B14" s="2" t="s">
        <v>333</v>
      </c>
      <c r="C14" s="4" t="b">
        <v>1</v>
      </c>
      <c r="D14" s="4" t="b">
        <v>0</v>
      </c>
      <c r="E14" s="4" t="b">
        <v>1</v>
      </c>
      <c r="F14" s="4" t="b">
        <v>1</v>
      </c>
      <c r="G14" t="s">
        <v>446</v>
      </c>
      <c r="H14" t="s">
        <v>447</v>
      </c>
    </row>
    <row r="15" spans="2:8">
      <c r="B15" s="2" t="s">
        <v>383</v>
      </c>
      <c r="C15" s="4" t="b">
        <v>1</v>
      </c>
      <c r="D15" s="4" t="b">
        <v>1</v>
      </c>
      <c r="E15" s="4" t="b">
        <v>1</v>
      </c>
      <c r="F15" s="4" t="b">
        <v>1</v>
      </c>
      <c r="G15" t="s">
        <v>448</v>
      </c>
      <c r="H15" t="s">
        <v>449</v>
      </c>
    </row>
    <row r="16" spans="2:8">
      <c r="B16" s="2" t="s">
        <v>336</v>
      </c>
      <c r="C16" s="4" t="b">
        <v>1</v>
      </c>
      <c r="D16" s="4" t="b">
        <v>0</v>
      </c>
      <c r="E16" s="4" t="b">
        <v>1</v>
      </c>
      <c r="F16" s="4" t="b">
        <v>0</v>
      </c>
      <c r="G16" t="s">
        <v>450</v>
      </c>
    </row>
    <row r="17" spans="2:8">
      <c r="B17" s="2" t="s">
        <v>337</v>
      </c>
      <c r="C17" s="4" t="b">
        <v>1</v>
      </c>
      <c r="D17" s="4" t="b">
        <v>1</v>
      </c>
      <c r="E17" s="4" t="b">
        <v>1</v>
      </c>
      <c r="F17" s="4" t="b">
        <v>0</v>
      </c>
      <c r="G17" t="s">
        <v>451</v>
      </c>
    </row>
    <row r="18" spans="2:8">
      <c r="B18" s="2" t="s">
        <v>339</v>
      </c>
      <c r="C18" s="4" t="b">
        <v>1</v>
      </c>
      <c r="D18" s="4" t="b">
        <v>1</v>
      </c>
      <c r="E18" s="4" t="b">
        <v>0</v>
      </c>
      <c r="F18" s="4" t="b">
        <v>0</v>
      </c>
    </row>
    <row r="19" spans="2:8">
      <c r="B19" s="2" t="s">
        <v>341</v>
      </c>
      <c r="C19" s="4" t="b">
        <v>1</v>
      </c>
      <c r="D19" s="4" t="b">
        <v>1</v>
      </c>
      <c r="E19" s="4" t="b">
        <v>1</v>
      </c>
      <c r="F19" s="4" t="b">
        <v>0</v>
      </c>
      <c r="G19" t="s">
        <v>452</v>
      </c>
    </row>
    <row r="20" spans="2:8">
      <c r="B20" s="2" t="s">
        <v>343</v>
      </c>
      <c r="C20" s="4" t="b">
        <v>1</v>
      </c>
      <c r="D20" s="4" t="b">
        <v>1</v>
      </c>
      <c r="E20" s="4" t="b">
        <v>0</v>
      </c>
      <c r="F20" s="4" t="b">
        <v>0</v>
      </c>
    </row>
    <row r="21" spans="2:8">
      <c r="B21" s="2" t="s">
        <v>453</v>
      </c>
      <c r="C21" s="4" t="b">
        <v>1</v>
      </c>
      <c r="D21" s="4" t="b">
        <v>1</v>
      </c>
      <c r="E21" s="4" t="b">
        <v>1</v>
      </c>
      <c r="F21" s="4" t="b">
        <v>1</v>
      </c>
      <c r="G21" t="s">
        <v>454</v>
      </c>
      <c r="H21" t="s">
        <v>455</v>
      </c>
    </row>
    <row r="22" spans="2:8">
      <c r="B22" s="2" t="s">
        <v>456</v>
      </c>
      <c r="C22" s="4" t="b">
        <v>1</v>
      </c>
      <c r="D22" s="4" t="b">
        <v>1</v>
      </c>
      <c r="E22" s="4" t="b">
        <v>1</v>
      </c>
      <c r="F22" s="4" t="b">
        <v>0</v>
      </c>
      <c r="G22" t="s">
        <v>457</v>
      </c>
    </row>
    <row r="23" spans="2:8">
      <c r="B23" s="2" t="s">
        <v>352</v>
      </c>
      <c r="C23" s="4" t="b">
        <v>1</v>
      </c>
      <c r="D23" s="4" t="b">
        <v>1</v>
      </c>
      <c r="E23" s="4" t="b">
        <v>0</v>
      </c>
      <c r="F23" s="4" t="b">
        <v>0</v>
      </c>
    </row>
    <row r="24" spans="2:8">
      <c r="B24" s="2" t="s">
        <v>357</v>
      </c>
      <c r="C24" s="4" t="b">
        <v>1</v>
      </c>
      <c r="D24" s="4" t="b">
        <v>1</v>
      </c>
      <c r="E24" s="4" t="b">
        <v>0</v>
      </c>
      <c r="F24" s="4" t="b">
        <v>0</v>
      </c>
    </row>
    <row r="25" spans="2:8">
      <c r="B25" s="2" t="s">
        <v>360</v>
      </c>
      <c r="C25" s="4" t="b">
        <v>1</v>
      </c>
      <c r="D25" s="4" t="b">
        <v>1</v>
      </c>
      <c r="E25" s="4" t="b">
        <v>1</v>
      </c>
      <c r="F25" s="4" t="b">
        <v>0</v>
      </c>
      <c r="G25" t="s">
        <v>458</v>
      </c>
    </row>
    <row r="26" spans="2:8">
      <c r="B26" s="2" t="s">
        <v>362</v>
      </c>
      <c r="C26" s="4" t="b">
        <v>1</v>
      </c>
      <c r="D26" s="4" t="b">
        <v>1</v>
      </c>
      <c r="E26" s="4" t="b">
        <v>0</v>
      </c>
      <c r="F26" s="4" t="b">
        <v>0</v>
      </c>
    </row>
    <row r="27" spans="2:8">
      <c r="B27" s="2" t="s">
        <v>363</v>
      </c>
      <c r="C27" s="4" t="b">
        <v>1</v>
      </c>
      <c r="D27" s="4" t="b">
        <v>1</v>
      </c>
      <c r="E27" s="4" t="b">
        <v>0</v>
      </c>
      <c r="F27" s="4" t="b">
        <v>0</v>
      </c>
    </row>
    <row r="28" spans="2:8">
      <c r="B28" s="2" t="s">
        <v>407</v>
      </c>
      <c r="C28" s="4" t="b">
        <v>1</v>
      </c>
      <c r="D28" s="4" t="b">
        <v>1</v>
      </c>
      <c r="E28" s="4" t="b">
        <v>1</v>
      </c>
      <c r="F28" s="4" t="b">
        <v>0</v>
      </c>
      <c r="G28" t="s">
        <v>459</v>
      </c>
    </row>
    <row r="29" spans="2:8">
      <c r="B29" s="2" t="s">
        <v>366</v>
      </c>
      <c r="C29" s="4" t="b">
        <v>0</v>
      </c>
      <c r="D29" s="4" t="b">
        <v>0</v>
      </c>
      <c r="E29" s="4" t="b">
        <v>1</v>
      </c>
      <c r="F29" s="4" t="b">
        <v>0</v>
      </c>
      <c r="G29" t="s">
        <v>460</v>
      </c>
    </row>
    <row r="30" spans="2:8">
      <c r="B30" s="2" t="s">
        <v>367</v>
      </c>
      <c r="C30" s="4" t="b">
        <v>1</v>
      </c>
      <c r="D30" s="4" t="b">
        <v>1</v>
      </c>
      <c r="E30" s="4" t="b">
        <v>0</v>
      </c>
      <c r="F30" s="4" t="b">
        <v>0</v>
      </c>
    </row>
    <row r="31" spans="2:8">
      <c r="B31" s="2" t="s">
        <v>119</v>
      </c>
      <c r="C31" s="4" t="b">
        <v>1</v>
      </c>
      <c r="D31" s="4" t="b">
        <v>1</v>
      </c>
      <c r="E31" s="4" t="b">
        <v>1</v>
      </c>
      <c r="F31" s="4" t="b">
        <v>1</v>
      </c>
      <c r="G31" t="s">
        <v>461</v>
      </c>
      <c r="H31" t="s">
        <v>462</v>
      </c>
    </row>
    <row r="32" spans="2:8">
      <c r="C32" s="4" t="b">
        <v>0</v>
      </c>
      <c r="D32" s="4" t="b">
        <v>0</v>
      </c>
      <c r="E32" s="4" t="b">
        <v>0</v>
      </c>
      <c r="F32" s="4" t="b">
        <v>0</v>
      </c>
    </row>
    <row r="33" spans="3:6">
      <c r="C33" s="4" t="b">
        <v>0</v>
      </c>
      <c r="D33" s="4" t="b">
        <v>0</v>
      </c>
      <c r="E33" s="4" t="b">
        <v>0</v>
      </c>
      <c r="F33" s="4" t="b">
        <v>0</v>
      </c>
    </row>
    <row r="34" spans="3:6">
      <c r="C34" s="4" t="b">
        <v>0</v>
      </c>
      <c r="D34" s="4" t="b">
        <v>0</v>
      </c>
      <c r="E34" s="4" t="b">
        <v>0</v>
      </c>
      <c r="F34" s="4" t="b">
        <v>0</v>
      </c>
    </row>
    <row r="35" spans="3:6">
      <c r="C35" s="4" t="b">
        <v>0</v>
      </c>
      <c r="D35" s="4" t="b">
        <v>0</v>
      </c>
      <c r="E35" s="4" t="b">
        <v>0</v>
      </c>
      <c r="F35" s="4" t="b">
        <v>0</v>
      </c>
    </row>
  </sheetData>
  <hyperlinks>
    <hyperlink ref="B2" r:id="rId1" xr:uid="{7172944F-5304-482C-A03E-856E5E24E47B}"/>
    <hyperlink ref="B3" r:id="rId2" xr:uid="{40B4A959-4C22-41EC-B5E5-D334F6CC1521}"/>
    <hyperlink ref="B4" r:id="rId3" xr:uid="{C6E2CB27-1027-4215-92B5-974A840636CF}"/>
    <hyperlink ref="B5" r:id="rId4" xr:uid="{2C7CFCD6-A789-40B4-AD4A-9D7F8F6B6F1D}"/>
    <hyperlink ref="B6" r:id="rId5" xr:uid="{A02020EB-4B20-4068-B7AE-4F034DE626CF}"/>
    <hyperlink ref="B7" r:id="rId6" xr:uid="{99AE577E-1FA0-4F49-9959-8FCA007A163D}"/>
    <hyperlink ref="B8" r:id="rId7" xr:uid="{39284C39-9CBE-433E-A15A-0C8FB983134A}"/>
    <hyperlink ref="B9" r:id="rId8" xr:uid="{10488B94-76E1-4B9B-9959-D0AF08F1C331}"/>
    <hyperlink ref="B10" r:id="rId9" xr:uid="{9CADE9FC-CBF7-45CB-90AC-6F550B79EE27}"/>
    <hyperlink ref="B11" r:id="rId10" xr:uid="{F273E404-8270-4048-B388-C5E40C5243A4}"/>
    <hyperlink ref="B12" r:id="rId11" xr:uid="{A41DCDEE-582A-4767-9B47-92942088EFAB}"/>
    <hyperlink ref="B13" r:id="rId12" xr:uid="{A35AC40D-2EE4-4648-9E91-57386FE8DC44}"/>
    <hyperlink ref="B14" r:id="rId13" xr:uid="{34BAE1AA-E4DB-4E63-A3D5-908D17C7F67B}"/>
    <hyperlink ref="B15" r:id="rId14" xr:uid="{78B2F3D4-3998-414A-AF25-C315CAE93ED0}"/>
    <hyperlink ref="B16" r:id="rId15" xr:uid="{CB2B7C23-2500-4D77-9BBC-6D69298AA108}"/>
    <hyperlink ref="B17" r:id="rId16" xr:uid="{5DF7E038-1D89-4BF6-867A-0BF6AA66D8C4}"/>
    <hyperlink ref="B18" r:id="rId17" xr:uid="{E0429AA6-980A-493E-A7F1-B88B57ACFB8F}"/>
    <hyperlink ref="B19" r:id="rId18" xr:uid="{371FE78B-DE5E-4DAE-9C4B-70B576732E11}"/>
    <hyperlink ref="B20" r:id="rId19" xr:uid="{E09A6250-AEEB-47E9-9783-1C94C0F200CE}"/>
    <hyperlink ref="B21" r:id="rId20" xr:uid="{83392656-4341-4D8C-9C69-80A460CAD40D}"/>
    <hyperlink ref="B22" r:id="rId21" xr:uid="{15DCF1D7-EA99-473D-AC0C-C7AA2EEB848E}"/>
    <hyperlink ref="B23" r:id="rId22" xr:uid="{2DBE3114-987A-493E-BF25-6A2B836E605C}"/>
    <hyperlink ref="B24" r:id="rId23" xr:uid="{C2F12D32-D058-4433-8187-8619D56EAF63}"/>
    <hyperlink ref="B25" r:id="rId24" xr:uid="{344882B1-F6F7-4E23-A088-9CD2295AAAF0}"/>
    <hyperlink ref="B26" r:id="rId25" xr:uid="{D21A9B78-158A-444C-9652-91CB5A8FC213}"/>
    <hyperlink ref="B27" r:id="rId26" xr:uid="{F4C69F19-DE8B-4626-AB98-A496AD4E17AB}"/>
    <hyperlink ref="B28" r:id="rId27" xr:uid="{856949E6-B2A5-41DB-977F-8450207F1C26}"/>
    <hyperlink ref="B29" r:id="rId28" xr:uid="{572E9C40-6F09-40FA-991E-A9F370D4D1CF}"/>
    <hyperlink ref="B30" r:id="rId29" xr:uid="{3EA4C355-1517-4E80-A60D-230F1B7E70BE}"/>
    <hyperlink ref="B31" r:id="rId30" xr:uid="{E4E59FCD-3FAF-4BD9-8EB1-C69426D8703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4BF1-7603-4D1D-B2AE-656F978611D6}">
  <dimension ref="B1:K35"/>
  <sheetViews>
    <sheetView workbookViewId="0">
      <selection activeCell="B16" activeCellId="2" sqref="F14 B15 B16"/>
    </sheetView>
  </sheetViews>
  <sheetFormatPr defaultRowHeight="15"/>
  <cols>
    <col min="3" max="3" width="12.85546875" customWidth="1"/>
    <col min="4" max="6" width="13.28515625" customWidth="1"/>
    <col min="7" max="7" width="81.28515625" customWidth="1"/>
  </cols>
  <sheetData>
    <row r="1" spans="2:11" s="1" customFormat="1">
      <c r="B1" s="1" t="s">
        <v>419</v>
      </c>
      <c r="C1" s="1" t="s">
        <v>302</v>
      </c>
      <c r="D1" s="1" t="s">
        <v>303</v>
      </c>
      <c r="E1" s="1" t="s">
        <v>420</v>
      </c>
      <c r="F1" s="1" t="s">
        <v>421</v>
      </c>
      <c r="G1" s="1" t="s">
        <v>422</v>
      </c>
      <c r="H1" s="1" t="s">
        <v>423</v>
      </c>
    </row>
    <row r="2" spans="2:11">
      <c r="B2" s="2" t="s">
        <v>21</v>
      </c>
      <c r="C2" s="4" t="b">
        <v>1</v>
      </c>
      <c r="D2" s="4" t="b">
        <v>1</v>
      </c>
      <c r="E2" s="4" t="b">
        <v>0</v>
      </c>
      <c r="F2" s="4" t="b">
        <v>0</v>
      </c>
    </row>
    <row r="3" spans="2:11">
      <c r="B3" s="2" t="s">
        <v>230</v>
      </c>
      <c r="C3" s="4" t="b">
        <v>1</v>
      </c>
      <c r="D3" s="4" t="b">
        <v>1</v>
      </c>
      <c r="E3" s="4" t="b">
        <v>1</v>
      </c>
      <c r="F3" s="4" t="b">
        <v>1</v>
      </c>
      <c r="G3" t="s">
        <v>463</v>
      </c>
      <c r="H3" t="s">
        <v>464</v>
      </c>
    </row>
    <row r="4" spans="2:11">
      <c r="B4" s="2" t="s">
        <v>311</v>
      </c>
      <c r="C4" s="4" t="b">
        <v>1</v>
      </c>
      <c r="D4" s="4" t="b">
        <v>1</v>
      </c>
      <c r="E4" s="4" t="b">
        <v>0</v>
      </c>
      <c r="F4" s="4" t="b">
        <v>0</v>
      </c>
    </row>
    <row r="5" spans="2:11">
      <c r="B5" s="2" t="s">
        <v>465</v>
      </c>
      <c r="C5" s="4" t="b">
        <v>1</v>
      </c>
      <c r="D5" s="4" t="b">
        <v>1</v>
      </c>
      <c r="E5" s="4" t="b">
        <v>0</v>
      </c>
      <c r="F5" s="4" t="b">
        <v>0</v>
      </c>
    </row>
    <row r="6" spans="2:11">
      <c r="B6" s="2" t="s">
        <v>86</v>
      </c>
      <c r="C6" s="4" t="b">
        <v>1</v>
      </c>
      <c r="D6" s="4" t="b">
        <v>1</v>
      </c>
      <c r="E6" s="4" t="b">
        <v>0</v>
      </c>
      <c r="F6" s="4" t="b">
        <v>0</v>
      </c>
    </row>
    <row r="7" spans="2:11">
      <c r="B7" s="2" t="s">
        <v>388</v>
      </c>
      <c r="C7" s="4" t="b">
        <v>1</v>
      </c>
      <c r="D7" s="4" t="b">
        <v>1</v>
      </c>
      <c r="E7" s="4" t="b">
        <v>0</v>
      </c>
      <c r="F7" s="4" t="b">
        <v>0</v>
      </c>
    </row>
    <row r="8" spans="2:11">
      <c r="B8" s="2" t="s">
        <v>394</v>
      </c>
      <c r="C8" s="4" t="b">
        <v>1</v>
      </c>
      <c r="D8" s="4" t="b">
        <v>1</v>
      </c>
      <c r="E8" s="4" t="b">
        <v>0</v>
      </c>
      <c r="F8" s="4" t="b">
        <v>0</v>
      </c>
    </row>
    <row r="9" spans="2:11">
      <c r="B9" s="2" t="s">
        <v>343</v>
      </c>
      <c r="C9" s="4" t="b">
        <v>1</v>
      </c>
      <c r="D9" s="4" t="b">
        <v>1</v>
      </c>
      <c r="E9" s="4" t="b">
        <v>1</v>
      </c>
      <c r="F9" s="4" t="b">
        <v>1</v>
      </c>
      <c r="G9" t="s">
        <v>466</v>
      </c>
      <c r="H9" t="s">
        <v>467</v>
      </c>
    </row>
    <row r="10" spans="2:11">
      <c r="B10" s="2" t="s">
        <v>468</v>
      </c>
      <c r="C10" s="4" t="b">
        <v>0</v>
      </c>
      <c r="D10" s="4" t="b">
        <v>0</v>
      </c>
      <c r="E10" s="4" t="b">
        <v>0</v>
      </c>
      <c r="F10" s="4" t="b">
        <v>0</v>
      </c>
    </row>
    <row r="11" spans="2:11">
      <c r="B11" s="2" t="s">
        <v>469</v>
      </c>
      <c r="C11" s="4" t="b">
        <v>1</v>
      </c>
      <c r="D11" s="4" t="b">
        <v>1</v>
      </c>
      <c r="E11" s="4" t="b">
        <v>1</v>
      </c>
      <c r="F11" s="4" t="b">
        <v>0</v>
      </c>
      <c r="G11" t="s">
        <v>470</v>
      </c>
    </row>
    <row r="12" spans="2:11">
      <c r="B12" s="2" t="s">
        <v>471</v>
      </c>
      <c r="C12" s="4" t="b">
        <v>0</v>
      </c>
      <c r="D12" s="4" t="b">
        <v>1</v>
      </c>
      <c r="E12" s="4" t="b">
        <v>1</v>
      </c>
      <c r="F12" s="4" t="b">
        <v>1</v>
      </c>
      <c r="G12" t="s">
        <v>472</v>
      </c>
      <c r="H12" t="s">
        <v>473</v>
      </c>
    </row>
    <row r="13" spans="2:11">
      <c r="B13" s="2" t="s">
        <v>364</v>
      </c>
      <c r="C13" s="4" t="b">
        <v>1</v>
      </c>
      <c r="D13" s="4" t="b">
        <v>1</v>
      </c>
      <c r="E13" s="4" t="b">
        <v>0</v>
      </c>
      <c r="F13" s="4" t="b">
        <v>0</v>
      </c>
    </row>
    <row r="14" spans="2:11">
      <c r="B14" s="2" t="s">
        <v>474</v>
      </c>
      <c r="C14" s="4" t="b">
        <v>0</v>
      </c>
      <c r="D14" s="4" t="b">
        <v>1</v>
      </c>
      <c r="E14" s="4" t="b">
        <v>0</v>
      </c>
      <c r="F14" s="4" t="b">
        <v>0</v>
      </c>
      <c r="G14" s="14" t="s">
        <v>475</v>
      </c>
      <c r="H14" s="14" t="s">
        <v>476</v>
      </c>
      <c r="I14" s="14"/>
      <c r="J14" s="14"/>
      <c r="K14" s="14"/>
    </row>
    <row r="15" spans="2:11">
      <c r="B15" s="2" t="s">
        <v>477</v>
      </c>
      <c r="C15" s="4" t="b">
        <v>0</v>
      </c>
      <c r="D15" s="4" t="b">
        <v>1</v>
      </c>
      <c r="E15" s="4" t="b">
        <v>1</v>
      </c>
      <c r="F15" s="4" t="b">
        <v>1</v>
      </c>
      <c r="G15" t="s">
        <v>478</v>
      </c>
      <c r="H15" t="s">
        <v>479</v>
      </c>
    </row>
    <row r="16" spans="2:11">
      <c r="B16" s="2" t="s">
        <v>480</v>
      </c>
      <c r="C16" s="4" t="b">
        <v>1</v>
      </c>
      <c r="D16" s="4" t="b">
        <v>1</v>
      </c>
      <c r="E16" s="4" t="b">
        <v>1</v>
      </c>
      <c r="F16" s="4" t="b">
        <v>0</v>
      </c>
      <c r="G16" t="s">
        <v>481</v>
      </c>
    </row>
    <row r="17" spans="2:6">
      <c r="B17" s="2" t="s">
        <v>482</v>
      </c>
      <c r="C17" s="4" t="b">
        <v>1</v>
      </c>
      <c r="D17" s="4" t="b">
        <v>1</v>
      </c>
      <c r="E17" s="4" t="b">
        <v>0</v>
      </c>
      <c r="F17" s="4" t="b">
        <v>0</v>
      </c>
    </row>
    <row r="18" spans="2:6">
      <c r="C18" s="4" t="b">
        <v>0</v>
      </c>
      <c r="D18" s="4" t="b">
        <v>0</v>
      </c>
      <c r="E18" s="4" t="b">
        <v>0</v>
      </c>
      <c r="F18" s="4" t="b">
        <v>0</v>
      </c>
    </row>
    <row r="19" spans="2:6">
      <c r="C19" s="4" t="b">
        <v>0</v>
      </c>
      <c r="D19" s="4" t="b">
        <v>0</v>
      </c>
      <c r="E19" s="4" t="b">
        <v>0</v>
      </c>
      <c r="F19" s="4" t="b">
        <v>0</v>
      </c>
    </row>
    <row r="20" spans="2:6">
      <c r="C20" s="4" t="b">
        <v>0</v>
      </c>
      <c r="D20" s="4" t="b">
        <v>0</v>
      </c>
      <c r="E20" s="4" t="b">
        <v>0</v>
      </c>
      <c r="F20" s="4" t="b">
        <v>0</v>
      </c>
    </row>
    <row r="21" spans="2:6">
      <c r="B21" s="2" t="s">
        <v>208</v>
      </c>
      <c r="C21" s="4" t="b">
        <v>1</v>
      </c>
      <c r="D21" s="4" t="b">
        <v>1</v>
      </c>
      <c r="E21" s="4" t="b">
        <v>0</v>
      </c>
      <c r="F21" s="4" t="b">
        <v>0</v>
      </c>
    </row>
    <row r="22" spans="2:6">
      <c r="C22" s="4" t="b">
        <v>0</v>
      </c>
      <c r="D22" s="4" t="b">
        <v>0</v>
      </c>
      <c r="E22" s="4" t="b">
        <v>0</v>
      </c>
      <c r="F22" s="4" t="b">
        <v>0</v>
      </c>
    </row>
    <row r="23" spans="2:6">
      <c r="C23" s="4" t="b">
        <v>0</v>
      </c>
      <c r="D23" s="4" t="b">
        <v>0</v>
      </c>
      <c r="E23" s="4" t="b">
        <v>0</v>
      </c>
      <c r="F23" s="4" t="b">
        <v>0</v>
      </c>
    </row>
    <row r="24" spans="2:6">
      <c r="C24" s="4" t="b">
        <v>0</v>
      </c>
      <c r="D24" s="4" t="b">
        <v>0</v>
      </c>
      <c r="E24" s="4" t="b">
        <v>0</v>
      </c>
      <c r="F24" s="4" t="b">
        <v>0</v>
      </c>
    </row>
    <row r="25" spans="2:6">
      <c r="C25" s="4" t="b">
        <v>0</v>
      </c>
      <c r="D25" s="4" t="b">
        <v>0</v>
      </c>
      <c r="E25" s="4" t="b">
        <v>0</v>
      </c>
      <c r="F25" s="4" t="b">
        <v>0</v>
      </c>
    </row>
    <row r="26" spans="2:6">
      <c r="C26" s="4" t="b">
        <v>0</v>
      </c>
      <c r="D26" s="4" t="b">
        <v>0</v>
      </c>
      <c r="E26" s="4" t="b">
        <v>0</v>
      </c>
      <c r="F26" s="4" t="b">
        <v>0</v>
      </c>
    </row>
    <row r="27" spans="2:6">
      <c r="C27" s="4" t="b">
        <v>0</v>
      </c>
      <c r="D27" s="4" t="b">
        <v>0</v>
      </c>
      <c r="E27" s="4" t="b">
        <v>0</v>
      </c>
      <c r="F27" s="4" t="b">
        <v>0</v>
      </c>
    </row>
    <row r="28" spans="2:6">
      <c r="C28" s="4" t="b">
        <v>0</v>
      </c>
      <c r="D28" s="4" t="b">
        <v>0</v>
      </c>
      <c r="E28" s="4" t="b">
        <v>0</v>
      </c>
      <c r="F28" s="4" t="b">
        <v>0</v>
      </c>
    </row>
    <row r="29" spans="2:6">
      <c r="C29" s="4" t="b">
        <v>0</v>
      </c>
      <c r="D29" s="4" t="b">
        <v>0</v>
      </c>
      <c r="E29" s="4" t="b">
        <v>0</v>
      </c>
      <c r="F29" s="4" t="b">
        <v>0</v>
      </c>
    </row>
    <row r="30" spans="2:6">
      <c r="C30" s="4" t="b">
        <v>0</v>
      </c>
      <c r="D30" s="4" t="b">
        <v>0</v>
      </c>
      <c r="E30" s="4" t="b">
        <v>0</v>
      </c>
      <c r="F30" s="4" t="b">
        <v>0</v>
      </c>
    </row>
    <row r="31" spans="2:6">
      <c r="C31" s="4" t="b">
        <v>0</v>
      </c>
      <c r="D31" s="4" t="b">
        <v>0</v>
      </c>
      <c r="E31" s="4" t="b">
        <v>0</v>
      </c>
      <c r="F31" s="4" t="b">
        <v>0</v>
      </c>
    </row>
    <row r="32" spans="2:6">
      <c r="C32" s="4" t="b">
        <v>0</v>
      </c>
      <c r="D32" s="4" t="b">
        <v>0</v>
      </c>
      <c r="E32" s="4" t="b">
        <v>0</v>
      </c>
      <c r="F32" s="4" t="b">
        <v>0</v>
      </c>
    </row>
    <row r="33" spans="3:6">
      <c r="C33" s="4" t="b">
        <v>0</v>
      </c>
      <c r="D33" s="4" t="b">
        <v>0</v>
      </c>
      <c r="E33" s="4" t="b">
        <v>0</v>
      </c>
      <c r="F33" s="4" t="b">
        <v>0</v>
      </c>
    </row>
    <row r="34" spans="3:6">
      <c r="C34" s="4" t="b">
        <v>0</v>
      </c>
      <c r="D34" s="4" t="b">
        <v>0</v>
      </c>
      <c r="E34" s="4" t="b">
        <v>0</v>
      </c>
      <c r="F34" s="4" t="b">
        <v>0</v>
      </c>
    </row>
    <row r="35" spans="3:6">
      <c r="C35" s="4" t="b">
        <v>0</v>
      </c>
      <c r="D35" s="4" t="b">
        <v>0</v>
      </c>
      <c r="E35" s="4" t="b">
        <v>0</v>
      </c>
      <c r="F35" s="4" t="b">
        <v>0</v>
      </c>
    </row>
  </sheetData>
  <hyperlinks>
    <hyperlink ref="B2" r:id="rId1" xr:uid="{87C7AAE6-A64A-457B-A3FC-530433619EF6}"/>
    <hyperlink ref="B3" r:id="rId2" xr:uid="{D66CC85D-EBD4-4690-BF41-9721D1E87284}"/>
    <hyperlink ref="B4" r:id="rId3" xr:uid="{26B2B8DA-8F19-4B92-8FCB-25F9DFB127F3}"/>
    <hyperlink ref="B5" r:id="rId4" xr:uid="{AE7640CD-C446-45AC-9F67-CE425DC29261}"/>
    <hyperlink ref="B6" r:id="rId5" xr:uid="{F938BCB0-0476-468D-A41B-94E0D50EF4FF}"/>
    <hyperlink ref="B7" r:id="rId6" xr:uid="{D20BAC06-45D9-48BB-92C6-65B6E105F2A2}"/>
    <hyperlink ref="B8" r:id="rId7" xr:uid="{D5884FF9-895B-4EA5-B121-43366AB47395}"/>
    <hyperlink ref="B9" r:id="rId8" xr:uid="{326CC815-57A3-421D-88A8-E66A8C9683E6}"/>
    <hyperlink ref="B11" r:id="rId9" xr:uid="{439A7560-5775-4FCE-A8BF-F83E85F6A419}"/>
    <hyperlink ref="B10" r:id="rId10" xr:uid="{E6B58201-009F-4779-9999-805957AC87BE}"/>
    <hyperlink ref="B12" r:id="rId11" xr:uid="{E3119793-BB98-4309-9365-3EC22C11435D}"/>
    <hyperlink ref="B13" r:id="rId12" xr:uid="{A5EF9B5E-3D9F-4B76-9FE4-F73BC089ACF6}"/>
    <hyperlink ref="B14" r:id="rId13" xr:uid="{4DFF17EB-2807-4968-AFB1-85B04BB06672}"/>
    <hyperlink ref="B15" r:id="rId14" xr:uid="{8A4B7623-13A8-4F00-8C20-217ABA5AD3D0}"/>
    <hyperlink ref="B16" r:id="rId15" xr:uid="{EC5FCB21-DBC8-4726-A491-9E2328CCF60F}"/>
    <hyperlink ref="B17" r:id="rId16" xr:uid="{FAF08BC7-0D76-4A10-8030-04EB2382D76C}"/>
    <hyperlink ref="B21" r:id="rId17" xr:uid="{240CB119-4A22-450F-B925-833E3A3A574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9E1C-9853-4426-B918-6DDDCF326694}">
  <dimension ref="B1:H35"/>
  <sheetViews>
    <sheetView topLeftCell="F2" workbookViewId="0">
      <selection activeCell="B23" activeCellId="8" sqref="F2 B2 B3 B5 B8 B14 B16 B18 B23"/>
    </sheetView>
  </sheetViews>
  <sheetFormatPr defaultRowHeight="15"/>
  <cols>
    <col min="3" max="3" width="12.85546875" customWidth="1"/>
    <col min="4" max="6" width="13.28515625" customWidth="1"/>
    <col min="7" max="7" width="59.85546875" customWidth="1"/>
  </cols>
  <sheetData>
    <row r="1" spans="2:8" s="1" customFormat="1">
      <c r="B1" s="1" t="s">
        <v>419</v>
      </c>
      <c r="C1" s="1" t="s">
        <v>302</v>
      </c>
      <c r="D1" s="1" t="s">
        <v>303</v>
      </c>
      <c r="E1" s="1" t="s">
        <v>420</v>
      </c>
      <c r="F1" s="1" t="s">
        <v>421</v>
      </c>
      <c r="G1" s="1" t="s">
        <v>422</v>
      </c>
      <c r="H1" s="1" t="s">
        <v>423</v>
      </c>
    </row>
    <row r="2" spans="2:8">
      <c r="B2" s="2" t="s">
        <v>21</v>
      </c>
      <c r="C2" s="4" t="b">
        <v>1</v>
      </c>
      <c r="D2" s="4" t="b">
        <v>1</v>
      </c>
      <c r="E2" s="4" t="b">
        <v>1</v>
      </c>
      <c r="F2" s="4" t="b">
        <v>1</v>
      </c>
      <c r="G2" t="s">
        <v>483</v>
      </c>
      <c r="H2" t="s">
        <v>484</v>
      </c>
    </row>
    <row r="3" spans="2:8">
      <c r="B3" s="2" t="s">
        <v>314</v>
      </c>
      <c r="C3" s="4" t="b">
        <v>0</v>
      </c>
      <c r="D3" s="4" t="b">
        <v>1</v>
      </c>
      <c r="E3" s="4" t="b">
        <v>1</v>
      </c>
      <c r="F3" s="4" t="b">
        <v>1</v>
      </c>
      <c r="G3" t="s">
        <v>485</v>
      </c>
      <c r="H3" t="s">
        <v>486</v>
      </c>
    </row>
    <row r="4" spans="2:8">
      <c r="B4" s="2" t="s">
        <v>440</v>
      </c>
      <c r="C4" s="4" t="b">
        <v>1</v>
      </c>
      <c r="D4" s="4" t="b">
        <v>0</v>
      </c>
      <c r="E4" s="4" t="b">
        <v>0</v>
      </c>
      <c r="F4" s="4" t="b">
        <v>0</v>
      </c>
    </row>
    <row r="5" spans="2:8">
      <c r="B5" s="2" t="s">
        <v>487</v>
      </c>
      <c r="C5" s="4" t="b">
        <v>0</v>
      </c>
      <c r="D5" s="4" t="b">
        <v>0</v>
      </c>
      <c r="E5" s="4" t="b">
        <v>1</v>
      </c>
      <c r="F5" s="4" t="b">
        <v>0</v>
      </c>
      <c r="G5" t="s">
        <v>488</v>
      </c>
    </row>
    <row r="6" spans="2:8">
      <c r="B6" s="2" t="s">
        <v>330</v>
      </c>
      <c r="C6" s="4" t="b">
        <v>0</v>
      </c>
      <c r="D6" s="4" t="b">
        <v>1</v>
      </c>
      <c r="E6" s="4" t="b">
        <v>0</v>
      </c>
      <c r="F6" s="4" t="b">
        <v>0</v>
      </c>
    </row>
    <row r="7" spans="2:8">
      <c r="B7" s="2" t="s">
        <v>383</v>
      </c>
      <c r="C7" s="4" t="b">
        <v>0</v>
      </c>
      <c r="D7" s="4" t="b">
        <v>1</v>
      </c>
      <c r="E7" s="4" t="b">
        <v>0</v>
      </c>
      <c r="F7" s="4" t="b">
        <v>0</v>
      </c>
    </row>
    <row r="8" spans="2:8">
      <c r="B8" s="2" t="s">
        <v>336</v>
      </c>
      <c r="C8" s="4" t="b">
        <v>1</v>
      </c>
      <c r="D8" s="4" t="b">
        <v>1</v>
      </c>
      <c r="E8" s="4" t="b">
        <v>1</v>
      </c>
      <c r="F8" s="4" t="b">
        <v>1</v>
      </c>
      <c r="G8" t="s">
        <v>489</v>
      </c>
      <c r="H8" t="s">
        <v>490</v>
      </c>
    </row>
    <row r="9" spans="2:8">
      <c r="B9" s="2" t="s">
        <v>491</v>
      </c>
      <c r="C9" s="4" t="b">
        <v>1</v>
      </c>
      <c r="D9" s="4" t="b">
        <v>1</v>
      </c>
      <c r="E9" s="4" t="b">
        <v>0</v>
      </c>
      <c r="F9" s="4" t="b">
        <v>0</v>
      </c>
    </row>
    <row r="10" spans="2:8">
      <c r="B10" s="2" t="s">
        <v>394</v>
      </c>
      <c r="C10" s="4" t="b">
        <v>1</v>
      </c>
      <c r="D10" s="4" t="b">
        <v>1</v>
      </c>
      <c r="E10" s="4" t="b">
        <v>0</v>
      </c>
      <c r="F10" s="4" t="b">
        <v>0</v>
      </c>
    </row>
    <row r="11" spans="2:8">
      <c r="B11" s="2" t="s">
        <v>343</v>
      </c>
      <c r="C11" s="4" t="b">
        <v>0</v>
      </c>
      <c r="D11" s="4" t="b">
        <v>1</v>
      </c>
      <c r="E11" s="4" t="b">
        <v>0</v>
      </c>
      <c r="F11" s="4" t="b">
        <v>0</v>
      </c>
    </row>
    <row r="12" spans="2:8">
      <c r="B12" s="2" t="s">
        <v>492</v>
      </c>
      <c r="C12" s="4" t="b">
        <v>1</v>
      </c>
      <c r="D12" s="4" t="b">
        <v>1</v>
      </c>
      <c r="E12" s="4" t="b">
        <v>0</v>
      </c>
      <c r="F12" s="4" t="b">
        <v>0</v>
      </c>
    </row>
    <row r="13" spans="2:8">
      <c r="B13" s="2" t="s">
        <v>362</v>
      </c>
      <c r="C13" s="4" t="b">
        <v>0</v>
      </c>
      <c r="D13" s="4" t="b">
        <v>1</v>
      </c>
      <c r="E13" s="4" t="b">
        <v>0</v>
      </c>
      <c r="F13" s="4" t="b">
        <v>0</v>
      </c>
    </row>
    <row r="14" spans="2:8">
      <c r="B14" s="2" t="s">
        <v>474</v>
      </c>
      <c r="C14" s="4" t="b">
        <v>0</v>
      </c>
      <c r="D14" s="4" t="b">
        <v>1</v>
      </c>
      <c r="E14" s="4" t="b">
        <v>1</v>
      </c>
      <c r="F14" s="4" t="b">
        <v>1</v>
      </c>
      <c r="G14" t="s">
        <v>493</v>
      </c>
      <c r="H14" t="s">
        <v>494</v>
      </c>
    </row>
    <row r="15" spans="2:8">
      <c r="B15" s="2" t="s">
        <v>480</v>
      </c>
      <c r="C15" s="4" t="b">
        <v>0</v>
      </c>
      <c r="D15" s="4" t="b">
        <v>1</v>
      </c>
      <c r="E15" s="4" t="b">
        <v>1</v>
      </c>
      <c r="F15" s="4" t="b">
        <v>1</v>
      </c>
      <c r="G15" t="s">
        <v>495</v>
      </c>
      <c r="H15" t="s">
        <v>496</v>
      </c>
    </row>
    <row r="16" spans="2:8">
      <c r="B16" s="2" t="s">
        <v>497</v>
      </c>
      <c r="C16" s="4" t="b">
        <v>0</v>
      </c>
      <c r="D16" s="4" t="b">
        <v>1</v>
      </c>
      <c r="E16" s="4" t="b">
        <v>1</v>
      </c>
      <c r="F16" s="4" t="b">
        <v>1</v>
      </c>
      <c r="G16" t="s">
        <v>498</v>
      </c>
      <c r="H16" t="s">
        <v>499</v>
      </c>
    </row>
    <row r="17" spans="2:8">
      <c r="B17" s="2" t="s">
        <v>409</v>
      </c>
      <c r="C17" s="4" t="b">
        <v>0</v>
      </c>
      <c r="D17" s="4" t="b">
        <v>1</v>
      </c>
      <c r="E17" s="4" t="b">
        <v>0</v>
      </c>
      <c r="F17" s="4" t="b">
        <v>0</v>
      </c>
    </row>
    <row r="18" spans="2:8">
      <c r="B18" s="2" t="s">
        <v>500</v>
      </c>
      <c r="C18" s="4" t="b">
        <v>1</v>
      </c>
      <c r="D18" s="4" t="b">
        <v>1</v>
      </c>
      <c r="E18" s="4" t="b">
        <v>1</v>
      </c>
      <c r="F18" s="4" t="b">
        <v>1</v>
      </c>
      <c r="G18" t="s">
        <v>501</v>
      </c>
      <c r="H18" t="s">
        <v>502</v>
      </c>
    </row>
    <row r="19" spans="2:8">
      <c r="B19" s="2" t="s">
        <v>503</v>
      </c>
      <c r="C19" s="4" t="b">
        <v>0</v>
      </c>
      <c r="D19" s="4" t="b">
        <v>1</v>
      </c>
      <c r="E19" s="4" t="b">
        <v>0</v>
      </c>
      <c r="F19" s="4" t="b">
        <v>0</v>
      </c>
    </row>
    <row r="20" spans="2:8">
      <c r="C20" s="4" t="b">
        <v>0</v>
      </c>
      <c r="D20" s="4" t="b">
        <v>0</v>
      </c>
      <c r="E20" s="4" t="b">
        <v>0</v>
      </c>
      <c r="F20" s="4" t="b">
        <v>0</v>
      </c>
    </row>
    <row r="21" spans="2:8">
      <c r="C21" s="4" t="b">
        <v>0</v>
      </c>
      <c r="D21" s="4" t="b">
        <v>0</v>
      </c>
      <c r="E21" s="4" t="b">
        <v>0</v>
      </c>
      <c r="F21" s="4" t="b">
        <v>0</v>
      </c>
    </row>
    <row r="22" spans="2:8">
      <c r="C22" s="4" t="b">
        <v>0</v>
      </c>
      <c r="D22" s="4" t="b">
        <v>0</v>
      </c>
      <c r="E22" s="4" t="b">
        <v>0</v>
      </c>
      <c r="F22" s="4" t="b">
        <v>0</v>
      </c>
    </row>
    <row r="23" spans="2:8">
      <c r="B23" s="2" t="s">
        <v>504</v>
      </c>
      <c r="C23" s="4" t="b">
        <v>0</v>
      </c>
      <c r="D23" s="4" t="b">
        <v>1</v>
      </c>
      <c r="E23" s="4" t="b">
        <v>1</v>
      </c>
      <c r="F23" s="4" t="b">
        <v>0</v>
      </c>
      <c r="G23" t="s">
        <v>505</v>
      </c>
    </row>
    <row r="24" spans="2:8">
      <c r="C24" s="4" t="b">
        <v>0</v>
      </c>
      <c r="D24" s="4" t="b">
        <v>0</v>
      </c>
      <c r="E24" s="4" t="b">
        <v>0</v>
      </c>
      <c r="F24" s="4" t="b">
        <v>0</v>
      </c>
    </row>
    <row r="25" spans="2:8">
      <c r="C25" s="4" t="b">
        <v>0</v>
      </c>
      <c r="D25" s="4" t="b">
        <v>0</v>
      </c>
      <c r="E25" s="4" t="b">
        <v>0</v>
      </c>
      <c r="F25" s="4" t="b">
        <v>0</v>
      </c>
    </row>
    <row r="26" spans="2:8">
      <c r="C26" s="4" t="b">
        <v>0</v>
      </c>
      <c r="D26" s="4" t="b">
        <v>0</v>
      </c>
      <c r="E26" s="4" t="b">
        <v>0</v>
      </c>
      <c r="F26" s="4" t="b">
        <v>0</v>
      </c>
    </row>
    <row r="27" spans="2:8">
      <c r="C27" s="4" t="b">
        <v>0</v>
      </c>
      <c r="D27" s="4" t="b">
        <v>0</v>
      </c>
      <c r="E27" s="4" t="b">
        <v>0</v>
      </c>
      <c r="F27" s="4" t="b">
        <v>0</v>
      </c>
    </row>
    <row r="28" spans="2:8">
      <c r="C28" s="4" t="b">
        <v>0</v>
      </c>
      <c r="D28" s="4" t="b">
        <v>0</v>
      </c>
      <c r="E28" s="4" t="b">
        <v>0</v>
      </c>
      <c r="F28" s="4" t="b">
        <v>0</v>
      </c>
    </row>
    <row r="29" spans="2:8">
      <c r="C29" s="4" t="b">
        <v>0</v>
      </c>
      <c r="D29" s="4" t="b">
        <v>0</v>
      </c>
      <c r="E29" s="4" t="b">
        <v>0</v>
      </c>
      <c r="F29" s="4" t="b">
        <v>0</v>
      </c>
    </row>
    <row r="30" spans="2:8">
      <c r="C30" s="4" t="b">
        <v>0</v>
      </c>
      <c r="D30" s="4" t="b">
        <v>0</v>
      </c>
      <c r="E30" s="4" t="b">
        <v>0</v>
      </c>
      <c r="F30" s="4" t="b">
        <v>0</v>
      </c>
    </row>
    <row r="31" spans="2:8">
      <c r="C31" s="4" t="b">
        <v>0</v>
      </c>
      <c r="D31" s="4" t="b">
        <v>0</v>
      </c>
      <c r="E31" s="4" t="b">
        <v>0</v>
      </c>
      <c r="F31" s="4" t="b">
        <v>0</v>
      </c>
    </row>
    <row r="32" spans="2:8">
      <c r="C32" s="4" t="b">
        <v>0</v>
      </c>
      <c r="D32" s="4" t="b">
        <v>0</v>
      </c>
      <c r="E32" s="4" t="b">
        <v>0</v>
      </c>
      <c r="F32" s="4" t="b">
        <v>0</v>
      </c>
    </row>
    <row r="33" spans="3:6">
      <c r="C33" s="4" t="b">
        <v>0</v>
      </c>
      <c r="D33" s="4" t="b">
        <v>0</v>
      </c>
      <c r="E33" s="4" t="b">
        <v>0</v>
      </c>
      <c r="F33" s="4" t="b">
        <v>0</v>
      </c>
    </row>
    <row r="34" spans="3:6">
      <c r="C34" s="4" t="b">
        <v>0</v>
      </c>
      <c r="D34" s="4" t="b">
        <v>0</v>
      </c>
      <c r="E34" s="4" t="b">
        <v>0</v>
      </c>
      <c r="F34" s="4" t="b">
        <v>0</v>
      </c>
    </row>
    <row r="35" spans="3:6">
      <c r="C35" s="4" t="b">
        <v>0</v>
      </c>
      <c r="D35" s="4" t="b">
        <v>0</v>
      </c>
      <c r="E35" s="4" t="b">
        <v>0</v>
      </c>
      <c r="F35" s="4" t="b">
        <v>0</v>
      </c>
    </row>
  </sheetData>
  <hyperlinks>
    <hyperlink ref="B2" r:id="rId1" xr:uid="{6EE4CC7B-2DD3-4A40-9E85-FDD24CB45AB4}"/>
    <hyperlink ref="B3" r:id="rId2" xr:uid="{B4A9B8C2-96CA-42E5-B689-FE1E497DB7F7}"/>
    <hyperlink ref="B4" r:id="rId3" xr:uid="{584C21C3-6BE3-469E-8DD2-C49769928AB2}"/>
    <hyperlink ref="B5" r:id="rId4" xr:uid="{BAFDF5D9-C94B-4770-AC3A-4399551ACDF3}"/>
    <hyperlink ref="B6" r:id="rId5" xr:uid="{EE1244DC-021B-4828-9990-037543925337}"/>
    <hyperlink ref="B7" r:id="rId6" xr:uid="{3800D5AD-1F58-41E5-A1EB-81074F0F9AEB}"/>
    <hyperlink ref="B8" r:id="rId7" xr:uid="{5F00BFD0-A057-480F-8B4B-490949972096}"/>
    <hyperlink ref="B9" r:id="rId8" xr:uid="{1E706BBE-5122-49B6-AE04-698D6B116F99}"/>
    <hyperlink ref="B10" r:id="rId9" xr:uid="{24C44B4A-A8B0-4952-84EB-E24CDF348FBA}"/>
    <hyperlink ref="B11" r:id="rId10" xr:uid="{A0731ADC-9790-4268-B5C7-884BFB7BD3E2}"/>
    <hyperlink ref="B12" r:id="rId11" xr:uid="{5A7F4C8B-F69C-450E-AF9F-98D3606C64CE}"/>
    <hyperlink ref="B13" r:id="rId12" xr:uid="{B595317B-90D3-4B1F-B228-FE50D5D2CDC1}"/>
    <hyperlink ref="B14" r:id="rId13" xr:uid="{F0F1EBF3-6102-4013-82A7-939271642630}"/>
    <hyperlink ref="B15" r:id="rId14" xr:uid="{5D96CA9E-3C4F-4A3C-B571-CD2C8A673942}"/>
    <hyperlink ref="B16" r:id="rId15" xr:uid="{BB6043E3-9AC8-49E4-AB19-6124A2D78B67}"/>
    <hyperlink ref="B17" r:id="rId16" xr:uid="{C78AF980-956A-48C4-BAC8-1DDB45B83578}"/>
    <hyperlink ref="B18" r:id="rId17" xr:uid="{F3504DAD-5006-47CE-805D-8634D5835973}"/>
    <hyperlink ref="B19" r:id="rId18" xr:uid="{099BABEE-3B9B-48B6-9165-6766BAC502F3}"/>
    <hyperlink ref="B23" r:id="rId19" xr:uid="{24BB569F-E9D8-4205-99C8-AE7625816A2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E66A-6D3B-44BF-A034-496C34CB5A3A}">
  <dimension ref="B1:H35"/>
  <sheetViews>
    <sheetView workbookViewId="0">
      <selection activeCell="B17" activeCellId="9" sqref="B22 B2 B4 B6 B7 B9 B10 B11 B12 B17"/>
    </sheetView>
  </sheetViews>
  <sheetFormatPr defaultRowHeight="15"/>
  <cols>
    <col min="3" max="3" width="12.85546875" customWidth="1"/>
    <col min="4" max="6" width="13.28515625" customWidth="1"/>
    <col min="7" max="7" width="61" customWidth="1"/>
  </cols>
  <sheetData>
    <row r="1" spans="2:8" s="1" customFormat="1">
      <c r="B1" s="1" t="s">
        <v>419</v>
      </c>
      <c r="C1" s="1" t="s">
        <v>302</v>
      </c>
      <c r="D1" s="1" t="s">
        <v>303</v>
      </c>
      <c r="E1" s="1" t="s">
        <v>420</v>
      </c>
      <c r="F1" s="1" t="s">
        <v>421</v>
      </c>
      <c r="G1" s="1" t="s">
        <v>422</v>
      </c>
      <c r="H1" s="1" t="s">
        <v>423</v>
      </c>
    </row>
    <row r="2" spans="2:8">
      <c r="B2" s="2" t="s">
        <v>6</v>
      </c>
      <c r="C2" s="4" t="b">
        <v>1</v>
      </c>
      <c r="D2" s="4" t="b">
        <v>1</v>
      </c>
      <c r="E2" s="4" t="b">
        <v>1</v>
      </c>
      <c r="F2" s="4" t="b">
        <v>0</v>
      </c>
      <c r="G2" t="s">
        <v>506</v>
      </c>
    </row>
    <row r="3" spans="2:8">
      <c r="B3" s="2" t="s">
        <v>21</v>
      </c>
      <c r="C3" s="4" t="b">
        <v>1</v>
      </c>
      <c r="D3" s="4" t="b">
        <v>1</v>
      </c>
      <c r="E3" s="4" t="b">
        <v>0</v>
      </c>
      <c r="F3" s="4" t="b">
        <v>0</v>
      </c>
    </row>
    <row r="4" spans="2:8">
      <c r="B4" s="2" t="s">
        <v>507</v>
      </c>
      <c r="C4" s="4" t="b">
        <v>1</v>
      </c>
      <c r="D4" s="4" t="b">
        <v>1</v>
      </c>
      <c r="E4" s="4" t="b">
        <v>1</v>
      </c>
      <c r="F4" s="4" t="b">
        <v>0</v>
      </c>
      <c r="G4" t="s">
        <v>508</v>
      </c>
    </row>
    <row r="5" spans="2:8">
      <c r="B5" s="2" t="s">
        <v>233</v>
      </c>
      <c r="C5" s="4" t="b">
        <v>1</v>
      </c>
      <c r="D5" s="4" t="b">
        <v>1</v>
      </c>
      <c r="E5" s="4" t="b">
        <v>0</v>
      </c>
      <c r="F5" s="4" t="b">
        <v>0</v>
      </c>
    </row>
    <row r="6" spans="2:8">
      <c r="B6" s="2" t="s">
        <v>383</v>
      </c>
      <c r="C6" s="4" t="b">
        <v>1</v>
      </c>
      <c r="D6" s="4" t="b">
        <v>1</v>
      </c>
      <c r="E6" s="4" t="b">
        <v>1</v>
      </c>
      <c r="F6" s="4" t="b">
        <v>0</v>
      </c>
      <c r="G6" t="s">
        <v>509</v>
      </c>
    </row>
    <row r="7" spans="2:8">
      <c r="B7" s="2" t="s">
        <v>491</v>
      </c>
      <c r="C7" s="4" t="b">
        <v>0</v>
      </c>
      <c r="D7" s="4" t="b">
        <v>1</v>
      </c>
      <c r="E7" s="4" t="b">
        <v>1</v>
      </c>
      <c r="F7" s="4" t="b">
        <v>1</v>
      </c>
      <c r="G7" t="s">
        <v>510</v>
      </c>
      <c r="H7" t="s">
        <v>511</v>
      </c>
    </row>
    <row r="8" spans="2:8">
      <c r="B8" s="2" t="s">
        <v>89</v>
      </c>
      <c r="C8" s="4" t="b">
        <v>0</v>
      </c>
      <c r="D8" s="4" t="b">
        <v>1</v>
      </c>
      <c r="E8" s="4" t="b">
        <v>0</v>
      </c>
      <c r="F8" s="4" t="b">
        <v>0</v>
      </c>
    </row>
    <row r="9" spans="2:8">
      <c r="B9" s="2" t="s">
        <v>391</v>
      </c>
      <c r="C9" s="4" t="b">
        <v>1</v>
      </c>
      <c r="D9" s="4" t="b">
        <v>1</v>
      </c>
      <c r="E9" s="4" t="b">
        <v>1</v>
      </c>
      <c r="F9" s="4" t="b">
        <v>0</v>
      </c>
      <c r="G9" t="s">
        <v>512</v>
      </c>
    </row>
    <row r="10" spans="2:8">
      <c r="B10" s="2" t="s">
        <v>513</v>
      </c>
      <c r="C10" s="4" t="b">
        <v>1</v>
      </c>
      <c r="D10" s="4" t="b">
        <v>1</v>
      </c>
      <c r="E10" s="4" t="b">
        <v>1</v>
      </c>
      <c r="F10" s="4" t="b">
        <v>0</v>
      </c>
      <c r="G10" t="s">
        <v>514</v>
      </c>
    </row>
    <row r="11" spans="2:8">
      <c r="B11" s="2" t="s">
        <v>363</v>
      </c>
      <c r="C11" s="4" t="b">
        <v>1</v>
      </c>
      <c r="D11" s="4" t="b">
        <v>1</v>
      </c>
      <c r="E11" s="4" t="b">
        <v>1</v>
      </c>
      <c r="F11" s="4" t="b">
        <v>0</v>
      </c>
      <c r="G11" t="s">
        <v>508</v>
      </c>
    </row>
    <row r="12" spans="2:8">
      <c r="B12" s="2" t="s">
        <v>515</v>
      </c>
      <c r="C12" s="4" t="b">
        <v>1</v>
      </c>
      <c r="D12" s="4" t="b">
        <v>1</v>
      </c>
      <c r="E12" s="4" t="b">
        <v>1</v>
      </c>
      <c r="F12" s="4" t="b">
        <v>1</v>
      </c>
      <c r="G12" t="s">
        <v>516</v>
      </c>
      <c r="H12" t="s">
        <v>517</v>
      </c>
    </row>
    <row r="13" spans="2:8">
      <c r="C13" s="4" t="b">
        <v>0</v>
      </c>
      <c r="D13" s="4" t="b">
        <v>0</v>
      </c>
      <c r="E13" s="4" t="b">
        <v>0</v>
      </c>
      <c r="F13" s="4" t="b">
        <v>0</v>
      </c>
    </row>
    <row r="14" spans="2:8">
      <c r="C14" s="4" t="b">
        <v>0</v>
      </c>
      <c r="D14" s="4" t="b">
        <v>0</v>
      </c>
      <c r="E14" s="4" t="b">
        <v>0</v>
      </c>
      <c r="F14" s="4" t="b">
        <v>0</v>
      </c>
    </row>
    <row r="15" spans="2:8">
      <c r="C15" s="4" t="b">
        <v>0</v>
      </c>
      <c r="D15" s="4" t="b">
        <v>0</v>
      </c>
      <c r="E15" s="4" t="b">
        <v>0</v>
      </c>
      <c r="F15" s="4" t="b">
        <v>0</v>
      </c>
    </row>
    <row r="16" spans="2:8">
      <c r="C16" s="4" t="b">
        <v>0</v>
      </c>
      <c r="D16" s="4" t="b">
        <v>0</v>
      </c>
      <c r="E16" s="4" t="b">
        <v>0</v>
      </c>
      <c r="F16" s="4" t="b">
        <v>0</v>
      </c>
    </row>
    <row r="17" spans="2:7">
      <c r="B17" s="2" t="s">
        <v>219</v>
      </c>
      <c r="C17" s="4" t="b">
        <v>1</v>
      </c>
      <c r="D17" s="4" t="b">
        <v>1</v>
      </c>
      <c r="E17" s="4" t="b">
        <v>1</v>
      </c>
      <c r="F17" s="4" t="b">
        <v>0</v>
      </c>
      <c r="G17" t="s">
        <v>518</v>
      </c>
    </row>
    <row r="18" spans="2:7">
      <c r="C18" s="4" t="b">
        <v>0</v>
      </c>
      <c r="D18" s="4" t="b">
        <v>0</v>
      </c>
      <c r="E18" s="4" t="b">
        <v>0</v>
      </c>
      <c r="F18" s="4" t="b">
        <v>0</v>
      </c>
    </row>
    <row r="19" spans="2:7">
      <c r="B19" s="2"/>
      <c r="C19" s="4" t="b">
        <v>0</v>
      </c>
      <c r="D19" s="4" t="b">
        <v>0</v>
      </c>
      <c r="E19" s="4" t="b">
        <v>0</v>
      </c>
      <c r="F19" s="4" t="b">
        <v>0</v>
      </c>
    </row>
    <row r="20" spans="2:7">
      <c r="C20" s="4" t="b">
        <v>0</v>
      </c>
      <c r="D20" s="4" t="b">
        <v>0</v>
      </c>
      <c r="E20" s="4" t="b">
        <v>0</v>
      </c>
      <c r="F20" s="4" t="b">
        <v>0</v>
      </c>
    </row>
    <row r="21" spans="2:7">
      <c r="C21" s="4" t="b">
        <v>0</v>
      </c>
      <c r="D21" s="4" t="b">
        <v>0</v>
      </c>
      <c r="E21" s="4" t="b">
        <v>0</v>
      </c>
      <c r="F21" s="4" t="b">
        <v>0</v>
      </c>
    </row>
    <row r="22" spans="2:7">
      <c r="C22" s="4" t="b">
        <v>0</v>
      </c>
      <c r="D22" s="4" t="b">
        <v>0</v>
      </c>
      <c r="E22" s="4" t="b">
        <v>0</v>
      </c>
      <c r="F22" s="4" t="b">
        <v>0</v>
      </c>
    </row>
    <row r="23" spans="2:7">
      <c r="C23" s="4" t="b">
        <v>0</v>
      </c>
      <c r="D23" s="4" t="b">
        <v>0</v>
      </c>
      <c r="E23" s="4" t="b">
        <v>0</v>
      </c>
      <c r="F23" s="4" t="b">
        <v>0</v>
      </c>
    </row>
    <row r="24" spans="2:7">
      <c r="C24" s="4" t="b">
        <v>0</v>
      </c>
      <c r="D24" s="4" t="b">
        <v>0</v>
      </c>
      <c r="E24" s="4" t="b">
        <v>0</v>
      </c>
      <c r="F24" s="4" t="b">
        <v>0</v>
      </c>
    </row>
    <row r="25" spans="2:7">
      <c r="C25" s="4" t="b">
        <v>0</v>
      </c>
      <c r="D25" s="4" t="b">
        <v>0</v>
      </c>
      <c r="E25" s="4" t="b">
        <v>0</v>
      </c>
      <c r="F25" s="4" t="b">
        <v>0</v>
      </c>
    </row>
    <row r="26" spans="2:7">
      <c r="C26" s="4" t="b">
        <v>0</v>
      </c>
      <c r="D26" s="4" t="b">
        <v>0</v>
      </c>
      <c r="E26" s="4" t="b">
        <v>0</v>
      </c>
      <c r="F26" s="4" t="b">
        <v>0</v>
      </c>
    </row>
    <row r="27" spans="2:7">
      <c r="C27" s="4" t="b">
        <v>0</v>
      </c>
      <c r="D27" s="4" t="b">
        <v>0</v>
      </c>
      <c r="E27" s="4" t="b">
        <v>0</v>
      </c>
      <c r="F27" s="4" t="b">
        <v>0</v>
      </c>
    </row>
    <row r="28" spans="2:7">
      <c r="C28" s="4" t="b">
        <v>0</v>
      </c>
      <c r="D28" s="4" t="b">
        <v>0</v>
      </c>
      <c r="E28" s="4" t="b">
        <v>0</v>
      </c>
      <c r="F28" s="4" t="b">
        <v>0</v>
      </c>
    </row>
    <row r="29" spans="2:7">
      <c r="C29" s="4" t="b">
        <v>0</v>
      </c>
      <c r="D29" s="4" t="b">
        <v>0</v>
      </c>
      <c r="E29" s="4" t="b">
        <v>0</v>
      </c>
      <c r="F29" s="4" t="b">
        <v>0</v>
      </c>
    </row>
    <row r="30" spans="2:7">
      <c r="C30" s="4" t="b">
        <v>0</v>
      </c>
      <c r="D30" s="4" t="b">
        <v>0</v>
      </c>
      <c r="E30" s="4" t="b">
        <v>0</v>
      </c>
      <c r="F30" s="4" t="b">
        <v>0</v>
      </c>
    </row>
    <row r="31" spans="2:7">
      <c r="C31" s="4" t="b">
        <v>0</v>
      </c>
      <c r="D31" s="4" t="b">
        <v>0</v>
      </c>
      <c r="E31" s="4" t="b">
        <v>0</v>
      </c>
      <c r="F31" s="4" t="b">
        <v>0</v>
      </c>
    </row>
    <row r="32" spans="2:7">
      <c r="C32" s="4" t="b">
        <v>0</v>
      </c>
      <c r="D32" s="4" t="b">
        <v>0</v>
      </c>
      <c r="E32" s="4" t="b">
        <v>0</v>
      </c>
      <c r="F32" s="4" t="b">
        <v>0</v>
      </c>
    </row>
    <row r="33" spans="3:6">
      <c r="C33" s="4" t="b">
        <v>0</v>
      </c>
      <c r="D33" s="4" t="b">
        <v>0</v>
      </c>
      <c r="E33" s="4" t="b">
        <v>0</v>
      </c>
      <c r="F33" s="4" t="b">
        <v>0</v>
      </c>
    </row>
    <row r="34" spans="3:6">
      <c r="C34" s="4" t="b">
        <v>0</v>
      </c>
      <c r="D34" s="4" t="b">
        <v>0</v>
      </c>
      <c r="E34" s="4" t="b">
        <v>0</v>
      </c>
      <c r="F34" s="4" t="b">
        <v>0</v>
      </c>
    </row>
    <row r="35" spans="3:6">
      <c r="C35" s="4" t="b">
        <v>0</v>
      </c>
      <c r="D35" s="4" t="b">
        <v>0</v>
      </c>
      <c r="E35" s="4" t="b">
        <v>0</v>
      </c>
      <c r="F35" s="4" t="b">
        <v>0</v>
      </c>
    </row>
  </sheetData>
  <hyperlinks>
    <hyperlink ref="B2" r:id="rId1" xr:uid="{4F5FD82B-36BE-4EFA-8B48-3645ECDFEB33}"/>
    <hyperlink ref="B3" r:id="rId2" xr:uid="{037E4020-E7CA-43ED-91CD-9D7FE5D01FF1}"/>
    <hyperlink ref="B4" r:id="rId3" xr:uid="{E2BDFAC9-A218-4176-8245-8779985BD6EA}"/>
    <hyperlink ref="B5" r:id="rId4" xr:uid="{AC6B5802-00C5-439F-8FFD-2C7BBEE673EA}"/>
    <hyperlink ref="B6" r:id="rId5" xr:uid="{1466ABF7-486C-4BA6-A9A3-AABA1DBC8D14}"/>
    <hyperlink ref="B7" r:id="rId6" xr:uid="{B6E5C441-F7DA-4481-87D0-3E8927E283FC}"/>
    <hyperlink ref="B8" r:id="rId7" xr:uid="{F5D141FC-1D90-49ED-9119-330C0ADCA270}"/>
    <hyperlink ref="B9" r:id="rId8" xr:uid="{6BA8DCA0-C1CE-4478-AC5A-22D0EA807865}"/>
    <hyperlink ref="B10" r:id="rId9" xr:uid="{EE508870-AAD2-4A7D-B352-E0D73F6042DD}"/>
    <hyperlink ref="B11" r:id="rId10" xr:uid="{E207EFF4-CBA5-40F9-B279-587C2F891ABD}"/>
    <hyperlink ref="B12" r:id="rId11" xr:uid="{27D78E2E-A3EB-4FE4-B05B-51D16D7C97E0}"/>
    <hyperlink ref="B17" r:id="rId12" xr:uid="{49689A07-3272-4F34-B8AC-8D1F8C051FF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99BB3-B173-46D2-B768-83CC10F7AA5F}">
  <dimension ref="C5:O37"/>
  <sheetViews>
    <sheetView topLeftCell="D1" workbookViewId="0">
      <selection activeCell="N19" sqref="N19"/>
    </sheetView>
  </sheetViews>
  <sheetFormatPr defaultRowHeight="15"/>
  <cols>
    <col min="3" max="3" width="37" customWidth="1"/>
    <col min="4" max="4" width="15.140625" customWidth="1"/>
    <col min="5" max="5" width="15.42578125" customWidth="1"/>
    <col min="6" max="6" width="14.140625" customWidth="1"/>
    <col min="7" max="7" width="12.42578125" customWidth="1"/>
    <col min="8" max="8" width="22.140625" customWidth="1"/>
    <col min="12" max="12" width="35.42578125" customWidth="1"/>
    <col min="13" max="13" width="15.28515625" customWidth="1"/>
    <col min="14" max="14" width="13.85546875" customWidth="1"/>
    <col min="15" max="15" width="21.140625" customWidth="1"/>
  </cols>
  <sheetData>
    <row r="5" spans="3:15">
      <c r="D5" t="s">
        <v>519</v>
      </c>
      <c r="E5" t="s">
        <v>520</v>
      </c>
      <c r="F5" t="s">
        <v>521</v>
      </c>
      <c r="G5" t="s">
        <v>522</v>
      </c>
      <c r="H5" t="s">
        <v>523</v>
      </c>
      <c r="M5" t="s">
        <v>519</v>
      </c>
      <c r="N5" t="s">
        <v>522</v>
      </c>
      <c r="O5" t="s">
        <v>523</v>
      </c>
    </row>
    <row r="6" spans="3:15">
      <c r="C6" t="s">
        <v>54</v>
      </c>
      <c r="D6">
        <v>31</v>
      </c>
      <c r="E6">
        <v>20</v>
      </c>
      <c r="F6">
        <v>26</v>
      </c>
      <c r="G6">
        <v>22</v>
      </c>
      <c r="H6">
        <v>19</v>
      </c>
      <c r="L6" t="s">
        <v>54</v>
      </c>
      <c r="M6">
        <v>31</v>
      </c>
      <c r="N6">
        <v>22</v>
      </c>
      <c r="O6">
        <v>19</v>
      </c>
    </row>
    <row r="7" spans="3:15">
      <c r="C7" t="s">
        <v>524</v>
      </c>
      <c r="D7">
        <v>23</v>
      </c>
      <c r="E7">
        <v>23</v>
      </c>
      <c r="F7">
        <v>21</v>
      </c>
      <c r="G7">
        <v>19</v>
      </c>
      <c r="H7">
        <v>16</v>
      </c>
      <c r="L7" t="s">
        <v>524</v>
      </c>
      <c r="M7">
        <v>23</v>
      </c>
      <c r="N7">
        <v>19</v>
      </c>
      <c r="O7">
        <v>16</v>
      </c>
    </row>
    <row r="8" spans="3:15">
      <c r="C8" t="s">
        <v>525</v>
      </c>
      <c r="D8">
        <v>30</v>
      </c>
      <c r="E8">
        <v>29</v>
      </c>
      <c r="F8">
        <v>27</v>
      </c>
      <c r="G8">
        <v>22</v>
      </c>
      <c r="H8">
        <v>13</v>
      </c>
      <c r="L8" t="s">
        <v>525</v>
      </c>
      <c r="M8">
        <v>30</v>
      </c>
      <c r="N8">
        <v>22</v>
      </c>
      <c r="O8">
        <v>13</v>
      </c>
    </row>
    <row r="9" spans="3:15">
      <c r="C9" t="s">
        <v>82</v>
      </c>
      <c r="D9">
        <v>17</v>
      </c>
      <c r="E9">
        <v>13</v>
      </c>
      <c r="F9">
        <v>16</v>
      </c>
      <c r="G9">
        <v>6</v>
      </c>
      <c r="H9">
        <v>4</v>
      </c>
      <c r="L9" t="s">
        <v>82</v>
      </c>
      <c r="M9">
        <v>17</v>
      </c>
      <c r="N9">
        <v>6</v>
      </c>
      <c r="O9">
        <v>4</v>
      </c>
    </row>
    <row r="10" spans="3:15">
      <c r="C10" t="s">
        <v>526</v>
      </c>
      <c r="D10">
        <v>19</v>
      </c>
      <c r="E10">
        <v>7</v>
      </c>
      <c r="F10">
        <v>17</v>
      </c>
      <c r="G10">
        <v>8</v>
      </c>
      <c r="H10">
        <v>6</v>
      </c>
      <c r="L10" t="s">
        <v>526</v>
      </c>
      <c r="M10">
        <v>19</v>
      </c>
      <c r="N10">
        <v>8</v>
      </c>
      <c r="O10">
        <v>6</v>
      </c>
    </row>
    <row r="11" spans="3:15">
      <c r="C11" t="s">
        <v>527</v>
      </c>
      <c r="D11">
        <v>12</v>
      </c>
      <c r="E11">
        <v>10</v>
      </c>
      <c r="F11">
        <v>12</v>
      </c>
      <c r="G11">
        <v>9</v>
      </c>
      <c r="H11">
        <v>2</v>
      </c>
      <c r="L11" t="s">
        <v>527</v>
      </c>
      <c r="M11">
        <v>12</v>
      </c>
      <c r="N11">
        <v>9</v>
      </c>
      <c r="O11">
        <v>2</v>
      </c>
    </row>
    <row r="22" spans="4:8">
      <c r="H22">
        <f>H6/G6</f>
        <v>0.86363636363636365</v>
      </c>
    </row>
    <row r="23" spans="4:8">
      <c r="H23">
        <f>H7/G7</f>
        <v>0.84210526315789469</v>
      </c>
    </row>
    <row r="24" spans="4:8">
      <c r="H24">
        <f t="shared" ref="H24:H31" si="0">H8/G8</f>
        <v>0.59090909090909094</v>
      </c>
    </row>
    <row r="25" spans="4:8">
      <c r="H25">
        <f t="shared" si="0"/>
        <v>0.66666666666666663</v>
      </c>
    </row>
    <row r="26" spans="4:8">
      <c r="H26">
        <f t="shared" si="0"/>
        <v>0.75</v>
      </c>
    </row>
    <row r="27" spans="4:8">
      <c r="H27">
        <f t="shared" si="0"/>
        <v>0.22222222222222221</v>
      </c>
    </row>
    <row r="32" spans="4:8">
      <c r="D32">
        <f xml:space="preserve"> G6/D6</f>
        <v>0.70967741935483875</v>
      </c>
      <c r="F32">
        <f>H6/D6</f>
        <v>0.61290322580645162</v>
      </c>
    </row>
    <row r="33" spans="4:6">
      <c r="D33">
        <f t="shared" ref="D33:D38" si="1" xml:space="preserve"> G7/D7</f>
        <v>0.82608695652173914</v>
      </c>
      <c r="F33">
        <f t="shared" ref="F33:F37" si="2">H7/D7</f>
        <v>0.69565217391304346</v>
      </c>
    </row>
    <row r="34" spans="4:6">
      <c r="D34">
        <f t="shared" si="1"/>
        <v>0.73333333333333328</v>
      </c>
      <c r="F34">
        <f t="shared" si="2"/>
        <v>0.43333333333333335</v>
      </c>
    </row>
    <row r="35" spans="4:6">
      <c r="D35">
        <f t="shared" si="1"/>
        <v>0.35294117647058826</v>
      </c>
      <c r="F35">
        <f t="shared" si="2"/>
        <v>0.23529411764705882</v>
      </c>
    </row>
    <row r="36" spans="4:6">
      <c r="D36">
        <f t="shared" si="1"/>
        <v>0.42105263157894735</v>
      </c>
      <c r="F36">
        <f t="shared" si="2"/>
        <v>0.31578947368421051</v>
      </c>
    </row>
    <row r="37" spans="4:6">
      <c r="D37">
        <f t="shared" si="1"/>
        <v>0.75</v>
      </c>
      <c r="F37">
        <f t="shared" si="2"/>
        <v>0.16666666666666666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1195f34-dad0-4eaa-b953-3c07f07b6b2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74682D110B234DB6CA27675BB66E20" ma:contentTypeVersion="9" ma:contentTypeDescription="Create a new document." ma:contentTypeScope="" ma:versionID="64d7f345781c5b96dcd96c48393d75ee">
  <xsd:schema xmlns:xsd="http://www.w3.org/2001/XMLSchema" xmlns:xs="http://www.w3.org/2001/XMLSchema" xmlns:p="http://schemas.microsoft.com/office/2006/metadata/properties" xmlns:ns2="31195f34-dad0-4eaa-b953-3c07f07b6b21" targetNamespace="http://schemas.microsoft.com/office/2006/metadata/properties" ma:root="true" ma:fieldsID="ad6afc5f68f27af46017efd578b2ea15" ns2:_="">
    <xsd:import namespace="31195f34-dad0-4eaa-b953-3c07f07b6b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195f34-dad0-4eaa-b953-3c07f07b6b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7bc199-5fe5-462f-a3d8-26f806c1f49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9245CA-DBE7-40B5-A8C2-EFD1CD69BC98}"/>
</file>

<file path=customXml/itemProps2.xml><?xml version="1.0" encoding="utf-8"?>
<ds:datastoreItem xmlns:ds="http://schemas.openxmlformats.org/officeDocument/2006/customXml" ds:itemID="{AEE4DCF6-39E6-4F2B-B145-0EA14DDD8BA5}"/>
</file>

<file path=customXml/itemProps3.xml><?xml version="1.0" encoding="utf-8"?>
<ds:datastoreItem xmlns:ds="http://schemas.openxmlformats.org/officeDocument/2006/customXml" ds:itemID="{75E64594-6BF1-4D54-98EA-2ED81F4EFE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2025-09-25T09:03:33Z</dcterms:created>
  <dcterms:modified xsi:type="dcterms:W3CDTF">2026-06-21T20:55:35Z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0x0101003274682D110B234DB6CA27675BB66E20</vt:lpwstr>
  </property>
  <property fmtid="{D5CDD505-2E9C-101B-9397-08002B2CF9AE}" pid="3" name="MediaServiceImageTags">
    <vt:lpwstr/>
  </property>
</Properties>
</file>